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b58ecc1ecac9893/Documents/"/>
    </mc:Choice>
  </mc:AlternateContent>
  <xr:revisionPtr revIDLastSave="4" documentId="8_{9CDF3EE0-1ED0-424F-9B29-59E6474E9905}" xr6:coauthVersionLast="47" xr6:coauthVersionMax="47" xr10:uidLastSave="{47065916-C4C4-4335-B096-4AE145EE6FC3}"/>
  <bookViews>
    <workbookView xWindow="-108" yWindow="-108" windowWidth="23256" windowHeight="12456" tabRatio="500" firstSheet="1" activeTab="3" xr2:uid="{00000000-000D-0000-FFFF-FFFF00000000}"/>
  </bookViews>
  <sheets>
    <sheet name="📊 Dashboard" sheetId="1" r:id="rId1"/>
    <sheet name="Survey Data" sheetId="2" r:id="rId2"/>
    <sheet name="🧮 SIP Calculator" sheetId="3" r:id="rId3"/>
    <sheet name="📚 SIP vs SWP Guide" sheetId="4" r:id="rId4"/>
    <sheet name="💼 Budget Planner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4" i="5" l="1"/>
  <c r="C33" i="5"/>
  <c r="E33" i="5" s="1"/>
  <c r="C32" i="5"/>
  <c r="E32" i="5" s="1"/>
  <c r="C31" i="5"/>
  <c r="E31" i="5" s="1"/>
  <c r="E34" i="5" s="1"/>
  <c r="E30" i="5"/>
  <c r="C30" i="5"/>
  <c r="E29" i="5"/>
  <c r="C29" i="5"/>
  <c r="E28" i="5"/>
  <c r="C28" i="5"/>
  <c r="C34" i="5" s="1"/>
  <c r="D24" i="5"/>
  <c r="C24" i="5"/>
  <c r="E23" i="5"/>
  <c r="C23" i="5"/>
  <c r="C22" i="5"/>
  <c r="E22" i="5" s="1"/>
  <c r="C21" i="5"/>
  <c r="E21" i="5" s="1"/>
  <c r="C20" i="5"/>
  <c r="E20" i="5" s="1"/>
  <c r="C19" i="5"/>
  <c r="E19" i="5" s="1"/>
  <c r="C18" i="5"/>
  <c r="E18" i="5" s="1"/>
  <c r="E24" i="5" s="1"/>
  <c r="D14" i="5"/>
  <c r="E13" i="5"/>
  <c r="C13" i="5"/>
  <c r="C12" i="5"/>
  <c r="E12" i="5" s="1"/>
  <c r="E11" i="5"/>
  <c r="C11" i="5"/>
  <c r="E10" i="5"/>
  <c r="C10" i="5"/>
  <c r="E9" i="5"/>
  <c r="C9" i="5"/>
  <c r="C8" i="5"/>
  <c r="E8" i="5" s="1"/>
  <c r="F31" i="3"/>
  <c r="E31" i="3"/>
  <c r="D31" i="3"/>
  <c r="C31" i="3"/>
  <c r="F30" i="3"/>
  <c r="E30" i="3"/>
  <c r="D30" i="3"/>
  <c r="C30" i="3"/>
  <c r="F29" i="3"/>
  <c r="E29" i="3"/>
  <c r="D29" i="3"/>
  <c r="C29" i="3"/>
  <c r="F28" i="3"/>
  <c r="E28" i="3"/>
  <c r="D28" i="3"/>
  <c r="C28" i="3"/>
  <c r="F27" i="3"/>
  <c r="E27" i="3"/>
  <c r="D27" i="3"/>
  <c r="C27" i="3"/>
  <c r="E26" i="3"/>
  <c r="F26" i="3" s="1"/>
  <c r="D26" i="3"/>
  <c r="C26" i="3"/>
  <c r="F25" i="3"/>
  <c r="E25" i="3"/>
  <c r="D25" i="3"/>
  <c r="C25" i="3"/>
  <c r="F24" i="3"/>
  <c r="E24" i="3"/>
  <c r="D24" i="3"/>
  <c r="C24" i="3"/>
  <c r="E23" i="3"/>
  <c r="F23" i="3" s="1"/>
  <c r="D23" i="3"/>
  <c r="C23" i="3"/>
  <c r="F22" i="3"/>
  <c r="E22" i="3"/>
  <c r="D22" i="3"/>
  <c r="C22" i="3"/>
  <c r="F21" i="3"/>
  <c r="E21" i="3"/>
  <c r="D21" i="3"/>
  <c r="C21" i="3"/>
  <c r="F20" i="3"/>
  <c r="E20" i="3"/>
  <c r="D20" i="3"/>
  <c r="C20" i="3"/>
  <c r="F19" i="3"/>
  <c r="E19" i="3"/>
  <c r="D19" i="3"/>
  <c r="C19" i="3"/>
  <c r="F18" i="3"/>
  <c r="E18" i="3"/>
  <c r="D18" i="3"/>
  <c r="C18" i="3"/>
  <c r="E17" i="3"/>
  <c r="F17" i="3" s="1"/>
  <c r="D17" i="3"/>
  <c r="C17" i="3"/>
  <c r="F16" i="3"/>
  <c r="E16" i="3"/>
  <c r="D16" i="3"/>
  <c r="C16" i="3"/>
  <c r="F15" i="3"/>
  <c r="E15" i="3"/>
  <c r="D15" i="3"/>
  <c r="C15" i="3"/>
  <c r="E14" i="3"/>
  <c r="F14" i="3" s="1"/>
  <c r="D14" i="3"/>
  <c r="C14" i="3"/>
  <c r="F13" i="3"/>
  <c r="E13" i="3"/>
  <c r="D13" i="3"/>
  <c r="C13" i="3"/>
  <c r="F12" i="3"/>
  <c r="E12" i="3"/>
  <c r="D12" i="3"/>
  <c r="C12" i="3"/>
  <c r="E7" i="3"/>
  <c r="E6" i="3"/>
  <c r="E5" i="3"/>
  <c r="E4" i="3"/>
  <c r="E14" i="5" l="1"/>
  <c r="C14" i="5"/>
</calcChain>
</file>

<file path=xl/sharedStrings.xml><?xml version="1.0" encoding="utf-8"?>
<sst xmlns="http://schemas.openxmlformats.org/spreadsheetml/2006/main" count="307" uniqueCount="245">
  <si>
    <t>💰 INDIA SAVINGS AWARENESS DASHBOARD</t>
  </si>
  <si>
    <t>Understanding the Savings Gap · SIP &amp; SWP Education · Action Plan for Every Indian</t>
  </si>
  <si>
    <t>NO SAVINGS</t>
  </si>
  <si>
    <t>AVG SAVINGS</t>
  </si>
  <si>
    <t>SIP AWARENESS</t>
  </si>
  <si>
    <t>READY TO INVEST</t>
  </si>
  <si>
    <t>64%</t>
  </si>
  <si>
    <t>₹4,200</t>
  </si>
  <si>
    <t>38%</t>
  </si>
  <si>
    <t>52%</t>
  </si>
  <si>
    <t>of surveyed Indians</t>
  </si>
  <si>
    <t>per month saved</t>
  </si>
  <si>
    <t>have heard of SIP</t>
  </si>
  <si>
    <t>willing to start</t>
  </si>
  <si>
    <t xml:space="preserve">  WHY PEOPLE DON'T SAVE — Survey Results</t>
  </si>
  <si>
    <t>Barrier to Saving</t>
  </si>
  <si>
    <t>% Respondents</t>
  </si>
  <si>
    <t>Visual</t>
  </si>
  <si>
    <t>Don't earn enough</t>
  </si>
  <si>
    <t>██████████████░░░░░░  71%</t>
  </si>
  <si>
    <t>Don't know where to start</t>
  </si>
  <si>
    <t>███████████░░░░░░░░░  58%</t>
  </si>
  <si>
    <t>No financial education</t>
  </si>
  <si>
    <t>██████████░░░░░░░░░░  52%</t>
  </si>
  <si>
    <t>Fear of losing money</t>
  </si>
  <si>
    <t>█████████░░░░░░░░░░░  47%</t>
  </si>
  <si>
    <t>Expenses too high</t>
  </si>
  <si>
    <t>████████░░░░░░░░░░░░  44%</t>
  </si>
  <si>
    <t>Procrastination</t>
  </si>
  <si>
    <t>███████░░░░░░░░░░░░░  38%</t>
  </si>
  <si>
    <t>Don't trust banks/schemes</t>
  </si>
  <si>
    <t>█████░░░░░░░░░░░░░░░  29%</t>
  </si>
  <si>
    <t xml:space="preserve">  SIP vs SAVINGS ACCOUNT — ₹5,000/month for 20 years</t>
  </si>
  <si>
    <t>Metric</t>
  </si>
  <si>
    <t>Savings Account (3.5%)</t>
  </si>
  <si>
    <t>SIP Mutual Fund (12%)</t>
  </si>
  <si>
    <t>Monthly Investment</t>
  </si>
  <si>
    <t>₹5,000</t>
  </si>
  <si>
    <t>Duration</t>
  </si>
  <si>
    <t>20 years</t>
  </si>
  <si>
    <t>Total Invested</t>
  </si>
  <si>
    <t>₹12,00,000</t>
  </si>
  <si>
    <t>Total Value</t>
  </si>
  <si>
    <t>₹17,28,000</t>
  </si>
  <si>
    <t>₹49,95,740</t>
  </si>
  <si>
    <t>Wealth Gained</t>
  </si>
  <si>
    <t>₹5,28,000</t>
  </si>
  <si>
    <t>₹37,95,740</t>
  </si>
  <si>
    <t>Return Multiple</t>
  </si>
  <si>
    <t>1.44x</t>
  </si>
  <si>
    <t>4.16x</t>
  </si>
  <si>
    <t xml:space="preserve">  YOUR 5-STEP SAVINGS ACTION PLAN</t>
  </si>
  <si>
    <t>1</t>
  </si>
  <si>
    <t>TRACK</t>
  </si>
  <si>
    <t>Write down every expense for 30 days. Use a notebook or free app.</t>
  </si>
  <si>
    <t>2</t>
  </si>
  <si>
    <t>BUDGET</t>
  </si>
  <si>
    <t>Follow 50/30/20 rule: 50% needs, 30% wants, 20% savings.</t>
  </si>
  <si>
    <t>3</t>
  </si>
  <si>
    <t>EMERGENCY</t>
  </si>
  <si>
    <t>Build 3–6 months of expenses in a liquid fund. Do this FIRST.</t>
  </si>
  <si>
    <t>4</t>
  </si>
  <si>
    <t>START SIP</t>
  </si>
  <si>
    <t>Begin with ₹500/month in an index fund. Increase 10% every year.</t>
  </si>
  <si>
    <t>5</t>
  </si>
  <si>
    <t>AUTOMATE</t>
  </si>
  <si>
    <t>Set up auto-debit on salary day. Save before you spend.</t>
  </si>
  <si>
    <t>Data sources: SEBI Investor Survey 2023 · RBI Household Finance Report · AMFI SIP Data · See 'Survey Data' sheet for raw numbers</t>
  </si>
  <si>
    <t>INDIA SAVINGS AWARENESS — SURVEY RAW DATA</t>
  </si>
  <si>
    <t>Source: Composite of SEBI Investor Survey 2023, RBI HFS 2021, AMFI Annual Report 2023-24</t>
  </si>
  <si>
    <t>SAVINGS BEHAVIOR</t>
  </si>
  <si>
    <t>Value (display)</t>
  </si>
  <si>
    <t>Value (numeric)</t>
  </si>
  <si>
    <t>Source</t>
  </si>
  <si>
    <t>% with zero savings</t>
  </si>
  <si>
    <t>64.0%</t>
  </si>
  <si>
    <t>0.64</t>
  </si>
  <si>
    <t>SEBI Investor Survey 2023</t>
  </si>
  <si>
    <t>% saving less than ₹1,000/month</t>
  </si>
  <si>
    <t>21.0%</t>
  </si>
  <si>
    <t>0.21</t>
  </si>
  <si>
    <t>RBI HFS 2021</t>
  </si>
  <si>
    <t>% saving ₹1K–5K/month</t>
  </si>
  <si>
    <t>10.0%</t>
  </si>
  <si>
    <t>0.10</t>
  </si>
  <si>
    <t>% saving ₹5K–10K/month</t>
  </si>
  <si>
    <t>3.0%</t>
  </si>
  <si>
    <t>0.03</t>
  </si>
  <si>
    <t>% saving more than ₹10K/month</t>
  </si>
  <si>
    <t>2.0%</t>
  </si>
  <si>
    <t>0.02</t>
  </si>
  <si>
    <t>Average monthly savings (₹)</t>
  </si>
  <si>
    <t>4200</t>
  </si>
  <si>
    <t>BARRIERS TO SAVING</t>
  </si>
  <si>
    <t>71.0%</t>
  </si>
  <si>
    <t>0.71</t>
  </si>
  <si>
    <t>SEBI Survey 2023</t>
  </si>
  <si>
    <t>58.0%</t>
  </si>
  <si>
    <t>0.58</t>
  </si>
  <si>
    <t>Lack of financial education</t>
  </si>
  <si>
    <t>52.0%</t>
  </si>
  <si>
    <t>0.52</t>
  </si>
  <si>
    <t>47.0%</t>
  </si>
  <si>
    <t>0.47</t>
  </si>
  <si>
    <t>Monthly expenses too high</t>
  </si>
  <si>
    <t>44.0%</t>
  </si>
  <si>
    <t>0.44</t>
  </si>
  <si>
    <t>Procrastination / no urgency</t>
  </si>
  <si>
    <t>38.0%</t>
  </si>
  <si>
    <t>0.38</t>
  </si>
  <si>
    <t>Don't trust financial institutions</t>
  </si>
  <si>
    <t>29.0%</t>
  </si>
  <si>
    <t>0.29</t>
  </si>
  <si>
    <t>SIP / INVESTMENT AWARENESS</t>
  </si>
  <si>
    <t>% who have heard of SIP</t>
  </si>
  <si>
    <t>AMFI 2023-24</t>
  </si>
  <si>
    <t>% willing to start SIP</t>
  </si>
  <si>
    <t>% currently investing in SIP</t>
  </si>
  <si>
    <t>8.5%</t>
  </si>
  <si>
    <t>0.085</t>
  </si>
  <si>
    <t>% who know what SWP is</t>
  </si>
  <si>
    <t>12.0%</t>
  </si>
  <si>
    <t>0.12</t>
  </si>
  <si>
    <t>Avg SIP ticket size (₹)</t>
  </si>
  <si>
    <t>2500</t>
  </si>
  <si>
    <t>Total SIP accounts (crore)</t>
  </si>
  <si>
    <t>8.99</t>
  </si>
  <si>
    <t>AMFI Mar 2024</t>
  </si>
  <si>
    <t>FINANCIAL LITERACY SCORES (0–10)</t>
  </si>
  <si>
    <t>Urban salaried workers</t>
  </si>
  <si>
    <t>5.8</t>
  </si>
  <si>
    <t>RBI FLS 2023</t>
  </si>
  <si>
    <t>Rural households</t>
  </si>
  <si>
    <t>2.9</t>
  </si>
  <si>
    <t>Women (overall)</t>
  </si>
  <si>
    <t>3.4</t>
  </si>
  <si>
    <t>Youth 18–25</t>
  </si>
  <si>
    <t>4.2</t>
  </si>
  <si>
    <t>National average</t>
  </si>
  <si>
    <t>4.0</t>
  </si>
  <si>
    <t>SIP &amp; SWP CALCULATOR — See Your Money Grow</t>
  </si>
  <si>
    <t>YOUR INPUTS (change blue cells)</t>
  </si>
  <si>
    <t>RESULTS</t>
  </si>
  <si>
    <t>Monthly SIP amount (₹)</t>
  </si>
  <si>
    <t>Total amount invested (₹)</t>
  </si>
  <si>
    <t>Expected annual return (%)</t>
  </si>
  <si>
    <t>Estimated corpus (₹)</t>
  </si>
  <si>
    <t>Investment duration (years)</t>
  </si>
  <si>
    <t>Wealth gained (₹)</t>
  </si>
  <si>
    <t>Step-up % per year</t>
  </si>
  <si>
    <t>Return multiple</t>
  </si>
  <si>
    <t>YEAR-BY-YEAR GROWTH PROJECTION</t>
  </si>
  <si>
    <t>Year</t>
  </si>
  <si>
    <t>Monthly SIP (₹)</t>
  </si>
  <si>
    <t>Total Invested (₹)</t>
  </si>
  <si>
    <t>Portfolio Value (₹)</t>
  </si>
  <si>
    <t>Gain (₹)</t>
  </si>
  <si>
    <t>SIP &amp; SWP — A PLAIN-LANGUAGE GUIDE FOR EVERY INDIAN</t>
  </si>
  <si>
    <t>📈 WHAT IS SIP (Systematic Investment Plan)?</t>
  </si>
  <si>
    <t>Definition</t>
  </si>
  <si>
    <t>A SIP lets you invest a fixed amount every month into a mutual fund — automatically.</t>
  </si>
  <si>
    <t>Minimum amount</t>
  </si>
  <si>
    <t>You can start with as little as ₹100/month. No large lump sum needed.</t>
  </si>
  <si>
    <t>How it works</t>
  </si>
  <si>
    <t>Your bank auto-debits ₹X on a fixed date. You buy mutual fund units at that day's price.</t>
  </si>
  <si>
    <t>Rupee cost averaging</t>
  </si>
  <si>
    <t>When markets fall, you buy more units. When they rise, fewer. This averages your cost over time.</t>
  </si>
  <si>
    <t>Power of compounding</t>
  </si>
  <si>
    <t>Returns are reinvested. ₹5,000/month for 20 years at 12% = ₹49.9 lakhs from ₹12 lakhs invested.</t>
  </si>
  <si>
    <t>Best for</t>
  </si>
  <si>
    <t>Salaried people, beginners, anyone wanting disciplined savings without market timing stress.</t>
  </si>
  <si>
    <t>Risk level</t>
  </si>
  <si>
    <t>Medium. Diversified equity funds are volatile short-term but historically stable long-term (10+ yrs).</t>
  </si>
  <si>
    <t>Tax benefit</t>
  </si>
  <si>
    <t>ELSS SIP funds offer ₹1.5 lakh deduction under Section 80C with only 3-year lock-in.</t>
  </si>
  <si>
    <t>📉 WHAT IS SWP (Systematic Withdrawal Plan)?</t>
  </si>
  <si>
    <t>SWP is the reverse of SIP. You withdraw a fixed amount every month from your mutual fund corpus.</t>
  </si>
  <si>
    <t>Who is it for?</t>
  </si>
  <si>
    <t>Retirees, people needing regular income, or anyone wanting to gradually use their investments.</t>
  </si>
  <si>
    <t>You instruct the fund to redeem ₹X worth of units monthly. The money goes to your bank account.</t>
  </si>
  <si>
    <t>Tax efficiency</t>
  </si>
  <si>
    <t>After 1 year, equity fund withdrawals are taxed at only 10% (LTCG) — better than FD interest (30%).</t>
  </si>
  <si>
    <t>Example</t>
  </si>
  <si>
    <t>₹50 lakh corpus, SWP of ₹25,000/month at 10% return → corpus lasts 30+ years and keeps growing!</t>
  </si>
  <si>
    <t>vs FD/Pension</t>
  </si>
  <si>
    <t>FDs give fixed but fully taxable income. SWP can give growing income with lower tax. More flexible.</t>
  </si>
  <si>
    <t>Post-retirement income, parents funding children's education, or supplementing salary.</t>
  </si>
  <si>
    <t>Risk</t>
  </si>
  <si>
    <t>Market downturns can reduce corpus. Keep 2 years of withdrawals in liquid/debt funds as buffer.</t>
  </si>
  <si>
    <t>SIP vs SWP — QUICK COMPARISON</t>
  </si>
  <si>
    <t>Feature</t>
  </si>
  <si>
    <t>SIP</t>
  </si>
  <si>
    <t>SWP</t>
  </si>
  <si>
    <t>Direction</t>
  </si>
  <si>
    <t>Invest money IN</t>
  </si>
  <si>
    <t>Withdraw money OUT</t>
  </si>
  <si>
    <t>Best life stage</t>
  </si>
  <si>
    <t>Working years (20–55)</t>
  </si>
  <si>
    <t>Retirement / income need</t>
  </si>
  <si>
    <t>Goal</t>
  </si>
  <si>
    <t>Wealth accumulation</t>
  </si>
  <si>
    <t>Regular income from wealth</t>
  </si>
  <si>
    <t>Minimum</t>
  </si>
  <si>
    <t>₹100/month</t>
  </si>
  <si>
    <t>₹500/month</t>
  </si>
  <si>
    <t>Flexibility</t>
  </si>
  <si>
    <t>Stop/pause anytime</t>
  </si>
  <si>
    <t>Tax</t>
  </si>
  <si>
    <t>LTCG 10% after 1 yr</t>
  </si>
  <si>
    <t>Combination</t>
  </si>
  <si>
    <t>—</t>
  </si>
  <si>
    <t>Use SIP to build, SWP to withdraw</t>
  </si>
  <si>
    <t>50 / 30 / 20 BUDGET PLANNER</t>
  </si>
  <si>
    <t>Enter your monthly income in C4. All allocations calculate automatically.</t>
  </si>
  <si>
    <t>Monthly take-home income (₹)</t>
  </si>
  <si>
    <t>50% — NEEDS  →  Recommended: ₹15,000</t>
  </si>
  <si>
    <t>Category</t>
  </si>
  <si>
    <t>Budget (₹)</t>
  </si>
  <si>
    <t>Actual (₹)</t>
  </si>
  <si>
    <t>Difference (₹)</t>
  </si>
  <si>
    <t>Rent/EMI</t>
  </si>
  <si>
    <t>Groceries &amp; food</t>
  </si>
  <si>
    <t>Utilities (electricity, water, gas)</t>
  </si>
  <si>
    <t>Transport (fuel, bus, auto)</t>
  </si>
  <si>
    <t>Mobile &amp; internet</t>
  </si>
  <si>
    <t>Medicine / health insurance</t>
  </si>
  <si>
    <t>SUBTOTAL (50%)</t>
  </si>
  <si>
    <t>30% — WANTS  →  Recommended: ₹9,000</t>
  </si>
  <si>
    <t>Eating out / delivery</t>
  </si>
  <si>
    <t>Entertainment &amp; OTT</t>
  </si>
  <si>
    <t>Shopping &amp; clothes</t>
  </si>
  <si>
    <t>Hobbies &amp; sports</t>
  </si>
  <si>
    <t>Weekend outings</t>
  </si>
  <si>
    <t>Personal care / grooming</t>
  </si>
  <si>
    <t>SUBTOTAL (30%)</t>
  </si>
  <si>
    <t>20% — SAVINGS  →  Recommended: ₹6,000</t>
  </si>
  <si>
    <t>Emergency fund (first priority)</t>
  </si>
  <si>
    <t>SIP / mutual fund</t>
  </si>
  <si>
    <t>PPF / NPS</t>
  </si>
  <si>
    <t>RD / bank savings</t>
  </si>
  <si>
    <t>Insurance premium</t>
  </si>
  <si>
    <t>Other investments</t>
  </si>
  <si>
    <t>SUBTOTAL (20%)</t>
  </si>
  <si>
    <t>TOTAL MONTHLY BUDGET CHECK — should equal your income</t>
  </si>
  <si>
    <t>mailto:sashutosh1509@gmail.com?subject=project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</si>
</sst>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"/>
    <numFmt numFmtId="165" formatCode="0.0%"/>
    <numFmt numFmtId="166" formatCode="0.00\x"/>
    <numFmt numFmtId="167" formatCode="\₹#,##0;&quot;(₹&quot;#,##0\)"/>
  </numFmts>
  <fonts count="34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BDD7EE"/>
      <name val="Arial"/>
      <charset val="1"/>
    </font>
    <font>
      <b/>
      <sz val="9"/>
      <color rgb="FFFFFFFF"/>
      <name val="Arial"/>
      <charset val="1"/>
    </font>
    <font>
      <b/>
      <sz val="20"/>
      <color rgb="FFC00000"/>
      <name val="Arial"/>
      <charset val="1"/>
    </font>
    <font>
      <b/>
      <sz val="20"/>
      <color rgb="FF2E75B6"/>
      <name val="Arial"/>
      <charset val="1"/>
    </font>
    <font>
      <b/>
      <sz val="20"/>
      <color rgb="FF00B0A0"/>
      <name val="Arial"/>
      <charset val="1"/>
    </font>
    <font>
      <b/>
      <sz val="20"/>
      <color rgb="FF70AD47"/>
      <name val="Arial"/>
      <charset val="1"/>
    </font>
    <font>
      <i/>
      <sz val="9"/>
      <color rgb="FF595959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A3C5E"/>
      <name val="Arial"/>
      <charset val="1"/>
    </font>
    <font>
      <sz val="9"/>
      <color rgb="FF2E75B6"/>
      <name val="Arial"/>
      <charset val="1"/>
    </font>
    <font>
      <sz val="10"/>
      <color rgb="FF595959"/>
      <name val="Arial"/>
      <charset val="1"/>
    </font>
    <font>
      <b/>
      <sz val="10"/>
      <color rgb="FF000000"/>
      <name val="Arial"/>
      <charset val="1"/>
    </font>
    <font>
      <b/>
      <sz val="10"/>
      <color rgb="FF595959"/>
      <name val="Arial"/>
      <charset val="1"/>
    </font>
    <font>
      <b/>
      <sz val="10"/>
      <color rgb="FF70AD47"/>
      <name val="Arial"/>
      <charset val="1"/>
    </font>
    <font>
      <b/>
      <sz val="14"/>
      <color rgb="FFFFFFFF"/>
      <name val="Arial"/>
      <charset val="1"/>
    </font>
    <font>
      <b/>
      <sz val="11"/>
      <color rgb="FF2E75B6"/>
      <name val="Arial"/>
      <charset val="1"/>
    </font>
    <font>
      <b/>
      <sz val="11"/>
      <color rgb="FF00B0A0"/>
      <name val="Arial"/>
      <charset val="1"/>
    </font>
    <font>
      <b/>
      <sz val="11"/>
      <color rgb="FF7030A0"/>
      <name val="Arial"/>
      <charset val="1"/>
    </font>
    <font>
      <b/>
      <sz val="11"/>
      <color rgb="FF70AD47"/>
      <name val="Arial"/>
      <charset val="1"/>
    </font>
    <font>
      <b/>
      <sz val="11"/>
      <color rgb="FFED7D31"/>
      <name val="Arial"/>
      <charset val="1"/>
    </font>
    <font>
      <i/>
      <sz val="8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rgb="FF0000FF"/>
      <name val="Arial"/>
      <charset val="1"/>
    </font>
    <font>
      <sz val="10"/>
      <color rgb="FF0000FF"/>
      <name val="Arial"/>
      <charset val="1"/>
    </font>
    <font>
      <sz val="10"/>
      <color rgb="FF00B0A0"/>
      <name val="Arial"/>
      <charset val="1"/>
    </font>
    <font>
      <b/>
      <sz val="10"/>
      <color rgb="FF00B0A0"/>
      <name val="Arial"/>
      <charset val="1"/>
    </font>
    <font>
      <sz val="11"/>
      <color rgb="FF000000"/>
      <name val="Arial"/>
      <charset val="1"/>
    </font>
    <font>
      <b/>
      <sz val="13"/>
      <color rgb="FF0000FF"/>
      <name val="Arial"/>
      <charset val="1"/>
    </font>
    <font>
      <u/>
      <sz val="11"/>
      <color theme="10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2E75B6"/>
        <bgColor rgb="FF0066CC"/>
      </patternFill>
    </fill>
    <fill>
      <patternFill patternType="solid">
        <fgColor rgb="FF00B0A0"/>
        <bgColor rgb="FF33CCCC"/>
      </patternFill>
    </fill>
    <fill>
      <patternFill patternType="solid">
        <fgColor rgb="FF70AD47"/>
        <bgColor rgb="FF339966"/>
      </patternFill>
    </fill>
    <fill>
      <patternFill patternType="solid">
        <fgColor rgb="FFFFFFFF"/>
        <bgColor rgb="FFF5F5F5"/>
      </patternFill>
    </fill>
    <fill>
      <patternFill patternType="solid">
        <fgColor rgb="FFF2F2F2"/>
        <bgColor rgb="FFF5F5F5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0F5F3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BDD7EE"/>
        <bgColor rgb="FF99CCFF"/>
      </patternFill>
    </fill>
    <fill>
      <patternFill patternType="solid">
        <fgColor rgb="FFE0F5F3"/>
        <bgColor rgb="FFE2EFDA"/>
      </patternFill>
    </fill>
    <fill>
      <patternFill patternType="solid">
        <fgColor rgb="FFF5F5F5"/>
        <bgColor rgb="FFF2F2F2"/>
      </patternFill>
    </fill>
    <fill>
      <patternFill patternType="solid">
        <fgColor rgb="FFFFF2CC"/>
        <bgColor rgb="FFFCE4D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111">
    <xf numFmtId="0" fontId="0" fillId="0" borderId="0" xfId="0"/>
    <xf numFmtId="0" fontId="18" fillId="4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8" fillId="0" borderId="0" xfId="0" applyFont="1"/>
    <xf numFmtId="0" fontId="3" fillId="2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left" vertical="center"/>
    </xf>
    <xf numFmtId="0" fontId="26" fillId="7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left" vertical="center"/>
    </xf>
    <xf numFmtId="0" fontId="26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164" fontId="27" fillId="13" borderId="1" xfId="0" applyNumberFormat="1" applyFont="1" applyFill="1" applyBorder="1" applyAlignment="1">
      <alignment horizontal="center" vertical="center"/>
    </xf>
    <xf numFmtId="165" fontId="27" fillId="13" borderId="1" xfId="0" applyNumberFormat="1" applyFont="1" applyFill="1" applyBorder="1" applyAlignment="1">
      <alignment horizontal="center" vertical="center"/>
    </xf>
    <xf numFmtId="1" fontId="27" fillId="1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164" fontId="28" fillId="8" borderId="1" xfId="0" applyNumberFormat="1" applyFont="1" applyFill="1" applyBorder="1" applyAlignment="1">
      <alignment horizontal="right" vertical="center"/>
    </xf>
    <xf numFmtId="164" fontId="11" fillId="8" borderId="1" xfId="0" applyNumberFormat="1" applyFont="1" applyFill="1" applyBorder="1" applyAlignment="1">
      <alignment horizontal="right" vertical="center"/>
    </xf>
    <xf numFmtId="164" fontId="29" fillId="8" borderId="1" xfId="0" applyNumberFormat="1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/>
    </xf>
    <xf numFmtId="164" fontId="28" fillId="7" borderId="1" xfId="0" applyNumberFormat="1" applyFont="1" applyFill="1" applyBorder="1" applyAlignment="1">
      <alignment horizontal="right" vertical="center"/>
    </xf>
    <xf numFmtId="164" fontId="11" fillId="7" borderId="1" xfId="0" applyNumberFormat="1" applyFont="1" applyFill="1" applyBorder="1" applyAlignment="1">
      <alignment horizontal="right" vertical="center"/>
    </xf>
    <xf numFmtId="164" fontId="29" fillId="7" borderId="1" xfId="0" applyNumberFormat="1" applyFont="1" applyFill="1" applyBorder="1" applyAlignment="1">
      <alignment horizontal="right" vertical="center"/>
    </xf>
    <xf numFmtId="0" fontId="15" fillId="10" borderId="1" xfId="0" applyFont="1" applyFill="1" applyBorder="1" applyAlignment="1">
      <alignment horizontal="center" vertical="center"/>
    </xf>
    <xf numFmtId="164" fontId="28" fillId="10" borderId="1" xfId="0" applyNumberFormat="1" applyFont="1" applyFill="1" applyBorder="1" applyAlignment="1">
      <alignment horizontal="right" vertical="center"/>
    </xf>
    <xf numFmtId="164" fontId="15" fillId="10" borderId="1" xfId="0" applyNumberFormat="1" applyFont="1" applyFill="1" applyBorder="1" applyAlignment="1">
      <alignment horizontal="right" vertical="center"/>
    </xf>
    <xf numFmtId="164" fontId="17" fillId="10" borderId="1" xfId="0" applyNumberFormat="1" applyFont="1" applyFill="1" applyBorder="1" applyAlignment="1">
      <alignment horizontal="right" vertical="center"/>
    </xf>
    <xf numFmtId="164" fontId="30" fillId="10" borderId="1" xfId="0" applyNumberFormat="1" applyFont="1" applyFill="1" applyBorder="1" applyAlignment="1">
      <alignment horizontal="right" vertical="center"/>
    </xf>
    <xf numFmtId="0" fontId="12" fillId="13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30" fillId="14" borderId="1" xfId="0" applyFont="1" applyFill="1" applyBorder="1" applyAlignment="1">
      <alignment horizontal="left" vertical="center"/>
    </xf>
    <xf numFmtId="0" fontId="30" fillId="7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left" vertical="center"/>
    </xf>
    <xf numFmtId="0" fontId="11" fillId="15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left" vertical="center"/>
    </xf>
    <xf numFmtId="164" fontId="32" fillId="16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167" fontId="11" fillId="7" borderId="1" xfId="0" applyNumberFormat="1" applyFont="1" applyFill="1" applyBorder="1" applyAlignment="1">
      <alignment horizontal="right" vertical="center"/>
    </xf>
    <xf numFmtId="167" fontId="11" fillId="8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right" vertical="center"/>
    </xf>
    <xf numFmtId="164" fontId="10" fillId="4" borderId="1" xfId="0" applyNumberFormat="1" applyFont="1" applyFill="1" applyBorder="1" applyAlignment="1">
      <alignment horizontal="right" vertical="center"/>
    </xf>
    <xf numFmtId="0" fontId="10" fillId="11" borderId="1" xfId="0" applyFont="1" applyFill="1" applyBorder="1" applyAlignment="1">
      <alignment horizontal="right" vertical="center"/>
    </xf>
    <xf numFmtId="164" fontId="10" fillId="11" borderId="1" xfId="0" applyNumberFormat="1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164" fontId="10" fillId="6" borderId="1" xfId="0" applyNumberFormat="1" applyFont="1" applyFill="1" applyBorder="1" applyAlignment="1">
      <alignment horizontal="right" vertical="center"/>
    </xf>
    <xf numFmtId="0" fontId="33" fillId="0" borderId="0" xfId="1"/>
    <xf numFmtId="0" fontId="25" fillId="2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25" fillId="4" borderId="0" xfId="0" applyFont="1" applyFill="1" applyAlignment="1">
      <alignment horizontal="left" vertical="center"/>
    </xf>
    <xf numFmtId="0" fontId="25" fillId="11" borderId="0" xfId="0" applyFont="1" applyFill="1" applyAlignment="1">
      <alignment horizontal="left" vertical="center"/>
    </xf>
    <xf numFmtId="0" fontId="25" fillId="6" borderId="0" xfId="0" applyFont="1" applyFill="1" applyAlignment="1">
      <alignment horizontal="left" vertical="center"/>
    </xf>
    <xf numFmtId="0" fontId="23" fillId="7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left" vertical="center" wrapText="1"/>
    </xf>
    <xf numFmtId="0" fontId="24" fillId="8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 wrapText="1"/>
    </xf>
    <xf numFmtId="0" fontId="21" fillId="7" borderId="0" xfId="0" applyFont="1" applyFill="1" applyAlignment="1">
      <alignment horizontal="left" vertical="center"/>
    </xf>
    <xf numFmtId="0" fontId="22" fillId="8" borderId="0" xfId="0" applyFont="1" applyFill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16" fillId="9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left" vertical="center"/>
    </xf>
    <xf numFmtId="0" fontId="14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9" fontId="12" fillId="8" borderId="0" xfId="0" applyNumberFormat="1" applyFont="1" applyFill="1" applyAlignment="1">
      <alignment horizontal="center" vertical="center"/>
    </xf>
    <xf numFmtId="0" fontId="13" fillId="8" borderId="0" xfId="0" applyFont="1" applyFill="1" applyAlignment="1">
      <alignment horizontal="left" vertical="center"/>
    </xf>
    <xf numFmtId="9" fontId="12" fillId="7" borderId="0" xfId="0" applyNumberFormat="1" applyFont="1" applyFill="1" applyAlignment="1">
      <alignment horizontal="center" vertical="center"/>
    </xf>
    <xf numFmtId="0" fontId="13" fillId="7" borderId="0" xfId="0" applyFont="1" applyFill="1" applyAlignment="1">
      <alignment horizontal="left" vertical="center"/>
    </xf>
    <xf numFmtId="0" fontId="8" fillId="7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left" vertical="center"/>
    </xf>
    <xf numFmtId="0" fontId="25" fillId="12" borderId="0" xfId="0" applyFont="1" applyFill="1" applyAlignment="1">
      <alignment horizontal="left" vertical="center"/>
    </xf>
    <xf numFmtId="164" fontId="22" fillId="10" borderId="2" xfId="0" applyNumberFormat="1" applyFont="1" applyFill="1" applyBorder="1" applyAlignment="1">
      <alignment horizontal="center" vertical="center"/>
    </xf>
    <xf numFmtId="166" fontId="22" fillId="10" borderId="2" xfId="0" applyNumberFormat="1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11" fillId="14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11" fillId="13" borderId="2" xfId="0" applyFont="1" applyFill="1" applyBorder="1" applyAlignment="1">
      <alignment horizontal="left" vertical="center" wrapText="1"/>
    </xf>
    <xf numFmtId="0" fontId="18" fillId="1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E0F5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F2F2F2"/>
      <rgbColor rgb="FFE2EFDA"/>
      <rgbColor rgb="FFF5F5F5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1A3C5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shutosh1509@gmail.com?subject=projec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3C5E"/>
  </sheetPr>
  <dimension ref="A1:I59"/>
  <sheetViews>
    <sheetView showGridLines="0" zoomScaleNormal="100" workbookViewId="0">
      <selection activeCell="J5" sqref="J5"/>
    </sheetView>
  </sheetViews>
  <sheetFormatPr defaultColWidth="8.6640625" defaultRowHeight="14.4" x14ac:dyDescent="0.3"/>
  <cols>
    <col min="1" max="1" width="2" customWidth="1"/>
    <col min="2" max="2" width="20" customWidth="1"/>
    <col min="3" max="8" width="16" customWidth="1"/>
    <col min="9" max="9" width="2" customWidth="1"/>
  </cols>
  <sheetData>
    <row r="1" spans="1:9" ht="9.75" customHeight="1" x14ac:dyDescent="0.3">
      <c r="A1" s="50" t="s">
        <v>244</v>
      </c>
      <c r="B1" s="94"/>
      <c r="C1" s="94"/>
      <c r="D1" s="94"/>
      <c r="E1" s="94"/>
      <c r="F1" s="94"/>
      <c r="G1" s="94"/>
      <c r="H1" s="94"/>
    </row>
    <row r="2" spans="1:9" ht="36" customHeight="1" x14ac:dyDescent="0.3">
      <c r="B2" s="95" t="s">
        <v>0</v>
      </c>
      <c r="C2" s="95"/>
      <c r="D2" s="95"/>
      <c r="E2" s="95"/>
      <c r="F2" s="95"/>
      <c r="G2" s="95"/>
      <c r="H2" s="95"/>
    </row>
    <row r="3" spans="1:9" ht="19.5" customHeight="1" x14ac:dyDescent="0.3">
      <c r="B3" s="96" t="s">
        <v>1</v>
      </c>
      <c r="C3" s="96"/>
      <c r="D3" s="96"/>
      <c r="E3" s="96"/>
      <c r="F3" s="96"/>
      <c r="G3" s="96"/>
      <c r="H3" s="96"/>
    </row>
    <row r="4" spans="1:9" ht="9.75" customHeight="1" x14ac:dyDescent="0.3">
      <c r="B4" s="94"/>
      <c r="C4" s="94"/>
      <c r="D4" s="94"/>
      <c r="E4" s="94"/>
      <c r="F4" s="94"/>
      <c r="G4" s="94"/>
      <c r="H4" s="94"/>
      <c r="I4" s="94"/>
    </row>
    <row r="5" spans="1:9" ht="24" customHeight="1" x14ac:dyDescent="0.3">
      <c r="B5" s="86" t="s">
        <v>2</v>
      </c>
      <c r="C5" s="86"/>
      <c r="D5" s="87" t="s">
        <v>3</v>
      </c>
      <c r="E5" s="87"/>
      <c r="F5" s="88" t="s">
        <v>4</v>
      </c>
      <c r="G5" s="88"/>
      <c r="H5" s="89" t="s">
        <v>5</v>
      </c>
      <c r="I5" s="89"/>
    </row>
    <row r="6" spans="1:9" ht="30" customHeight="1" x14ac:dyDescent="0.3">
      <c r="B6" s="90" t="s">
        <v>6</v>
      </c>
      <c r="C6" s="90"/>
      <c r="D6" s="91" t="s">
        <v>7</v>
      </c>
      <c r="E6" s="91"/>
      <c r="F6" s="92" t="s">
        <v>8</v>
      </c>
      <c r="G6" s="92"/>
      <c r="H6" s="93" t="s">
        <v>9</v>
      </c>
      <c r="I6" s="93"/>
    </row>
    <row r="7" spans="1:9" ht="18" customHeight="1" x14ac:dyDescent="0.3">
      <c r="B7" s="84" t="s">
        <v>10</v>
      </c>
      <c r="C7" s="84"/>
      <c r="D7" s="84" t="s">
        <v>11</v>
      </c>
      <c r="E7" s="84"/>
      <c r="F7" s="84" t="s">
        <v>12</v>
      </c>
      <c r="G7" s="84"/>
      <c r="H7" s="84" t="s">
        <v>13</v>
      </c>
      <c r="I7" s="84"/>
    </row>
    <row r="8" spans="1:9" ht="7.5" customHeight="1" x14ac:dyDescent="0.3"/>
    <row r="9" spans="1:9" ht="21.75" customHeight="1" x14ac:dyDescent="0.3">
      <c r="B9" s="85" t="s">
        <v>14</v>
      </c>
      <c r="C9" s="85"/>
      <c r="D9" s="85"/>
      <c r="E9" s="85"/>
      <c r="F9" s="85"/>
      <c r="G9" s="85"/>
      <c r="H9" s="85"/>
    </row>
    <row r="10" spans="1:9" ht="19.5" customHeight="1" x14ac:dyDescent="0.3">
      <c r="B10" s="78" t="s">
        <v>15</v>
      </c>
      <c r="C10" s="78"/>
      <c r="D10" s="78" t="s">
        <v>16</v>
      </c>
      <c r="E10" s="78"/>
      <c r="F10" s="78" t="s">
        <v>17</v>
      </c>
      <c r="G10" s="78"/>
      <c r="H10" s="78"/>
    </row>
    <row r="11" spans="1:9" ht="18" customHeight="1" x14ac:dyDescent="0.3">
      <c r="B11" s="73" t="s">
        <v>18</v>
      </c>
      <c r="C11" s="73"/>
      <c r="D11" s="82">
        <v>0.71</v>
      </c>
      <c r="E11" s="82"/>
      <c r="F11" s="83" t="s">
        <v>19</v>
      </c>
      <c r="G11" s="83"/>
      <c r="H11" s="83"/>
    </row>
    <row r="12" spans="1:9" ht="18" customHeight="1" x14ac:dyDescent="0.3">
      <c r="B12" s="70" t="s">
        <v>20</v>
      </c>
      <c r="C12" s="70"/>
      <c r="D12" s="80">
        <v>0.57999999999999996</v>
      </c>
      <c r="E12" s="80"/>
      <c r="F12" s="81" t="s">
        <v>21</v>
      </c>
      <c r="G12" s="81"/>
      <c r="H12" s="81"/>
    </row>
    <row r="13" spans="1:9" ht="18" customHeight="1" x14ac:dyDescent="0.3">
      <c r="B13" s="73" t="s">
        <v>22</v>
      </c>
      <c r="C13" s="73"/>
      <c r="D13" s="82">
        <v>0.52</v>
      </c>
      <c r="E13" s="82"/>
      <c r="F13" s="83" t="s">
        <v>23</v>
      </c>
      <c r="G13" s="83"/>
      <c r="H13" s="83"/>
    </row>
    <row r="14" spans="1:9" ht="18" customHeight="1" x14ac:dyDescent="0.3">
      <c r="B14" s="70" t="s">
        <v>24</v>
      </c>
      <c r="C14" s="70"/>
      <c r="D14" s="80">
        <v>0.47</v>
      </c>
      <c r="E14" s="80"/>
      <c r="F14" s="81" t="s">
        <v>25</v>
      </c>
      <c r="G14" s="81"/>
      <c r="H14" s="81"/>
    </row>
    <row r="15" spans="1:9" ht="18" customHeight="1" x14ac:dyDescent="0.3">
      <c r="B15" s="73" t="s">
        <v>26</v>
      </c>
      <c r="C15" s="73"/>
      <c r="D15" s="82">
        <v>0.44</v>
      </c>
      <c r="E15" s="82"/>
      <c r="F15" s="83" t="s">
        <v>27</v>
      </c>
      <c r="G15" s="83"/>
      <c r="H15" s="83"/>
    </row>
    <row r="16" spans="1:9" ht="18" customHeight="1" x14ac:dyDescent="0.3">
      <c r="B16" s="70" t="s">
        <v>28</v>
      </c>
      <c r="C16" s="70"/>
      <c r="D16" s="80">
        <v>0.38</v>
      </c>
      <c r="E16" s="80"/>
      <c r="F16" s="81" t="s">
        <v>29</v>
      </c>
      <c r="G16" s="81"/>
      <c r="H16" s="81"/>
    </row>
    <row r="17" spans="2:8" ht="18" customHeight="1" x14ac:dyDescent="0.3">
      <c r="B17" s="73" t="s">
        <v>30</v>
      </c>
      <c r="C17" s="73"/>
      <c r="D17" s="82">
        <v>0.28999999999999998</v>
      </c>
      <c r="E17" s="82"/>
      <c r="F17" s="83" t="s">
        <v>31</v>
      </c>
      <c r="G17" s="83"/>
      <c r="H17" s="83"/>
    </row>
    <row r="18" spans="2:8" ht="7.5" customHeight="1" x14ac:dyDescent="0.3"/>
    <row r="19" spans="2:8" ht="21.75" customHeight="1" x14ac:dyDescent="0.3">
      <c r="B19" s="76" t="s">
        <v>32</v>
      </c>
      <c r="C19" s="76"/>
      <c r="D19" s="76"/>
      <c r="E19" s="76"/>
      <c r="F19" s="76"/>
      <c r="G19" s="76"/>
      <c r="H19" s="76"/>
    </row>
    <row r="20" spans="2:8" ht="19.5" customHeight="1" x14ac:dyDescent="0.3">
      <c r="B20" s="77" t="s">
        <v>33</v>
      </c>
      <c r="C20" s="77"/>
      <c r="D20" s="78" t="s">
        <v>34</v>
      </c>
      <c r="E20" s="78"/>
      <c r="F20" s="79" t="s">
        <v>35</v>
      </c>
      <c r="G20" s="79"/>
    </row>
    <row r="21" spans="2:8" ht="18" customHeight="1" x14ac:dyDescent="0.3">
      <c r="B21" s="73" t="s">
        <v>36</v>
      </c>
      <c r="C21" s="73"/>
      <c r="D21" s="74" t="s">
        <v>37</v>
      </c>
      <c r="E21" s="74"/>
      <c r="F21" s="75" t="s">
        <v>37</v>
      </c>
      <c r="G21" s="75"/>
      <c r="H21" s="75"/>
    </row>
    <row r="22" spans="2:8" ht="18" customHeight="1" x14ac:dyDescent="0.3">
      <c r="B22" s="70" t="s">
        <v>38</v>
      </c>
      <c r="C22" s="70"/>
      <c r="D22" s="71" t="s">
        <v>39</v>
      </c>
      <c r="E22" s="71"/>
      <c r="F22" s="72" t="s">
        <v>39</v>
      </c>
      <c r="G22" s="72"/>
      <c r="H22" s="72"/>
    </row>
    <row r="23" spans="2:8" ht="18" customHeight="1" x14ac:dyDescent="0.3">
      <c r="B23" s="73" t="s">
        <v>40</v>
      </c>
      <c r="C23" s="73"/>
      <c r="D23" s="74" t="s">
        <v>41</v>
      </c>
      <c r="E23" s="74"/>
      <c r="F23" s="75" t="s">
        <v>41</v>
      </c>
      <c r="G23" s="75"/>
      <c r="H23" s="75"/>
    </row>
    <row r="24" spans="2:8" ht="18" customHeight="1" x14ac:dyDescent="0.3">
      <c r="B24" s="64" t="s">
        <v>42</v>
      </c>
      <c r="C24" s="64"/>
      <c r="D24" s="65" t="s">
        <v>43</v>
      </c>
      <c r="E24" s="65"/>
      <c r="F24" s="66" t="s">
        <v>44</v>
      </c>
      <c r="G24" s="66"/>
      <c r="H24" s="66"/>
    </row>
    <row r="25" spans="2:8" ht="18" customHeight="1" x14ac:dyDescent="0.3">
      <c r="B25" s="69" t="s">
        <v>45</v>
      </c>
      <c r="C25" s="69"/>
      <c r="D25" s="65" t="s">
        <v>46</v>
      </c>
      <c r="E25" s="65"/>
      <c r="F25" s="66" t="s">
        <v>47</v>
      </c>
      <c r="G25" s="66"/>
      <c r="H25" s="66"/>
    </row>
    <row r="26" spans="2:8" ht="18" customHeight="1" x14ac:dyDescent="0.3">
      <c r="B26" s="64" t="s">
        <v>48</v>
      </c>
      <c r="C26" s="64"/>
      <c r="D26" s="65" t="s">
        <v>49</v>
      </c>
      <c r="E26" s="65"/>
      <c r="F26" s="66" t="s">
        <v>50</v>
      </c>
      <c r="G26" s="66"/>
      <c r="H26" s="66"/>
    </row>
    <row r="27" spans="2:8" ht="7.5" customHeight="1" x14ac:dyDescent="0.3"/>
    <row r="28" spans="2:8" ht="21.75" customHeight="1" x14ac:dyDescent="0.3">
      <c r="B28" s="67" t="s">
        <v>51</v>
      </c>
      <c r="C28" s="67"/>
      <c r="D28" s="67"/>
      <c r="E28" s="67"/>
      <c r="F28" s="67"/>
      <c r="G28" s="67"/>
      <c r="H28" s="67"/>
    </row>
    <row r="29" spans="2:8" ht="21.75" customHeight="1" x14ac:dyDescent="0.3">
      <c r="B29" s="1" t="s">
        <v>52</v>
      </c>
      <c r="C29" s="68" t="s">
        <v>53</v>
      </c>
      <c r="D29" s="68"/>
      <c r="E29" s="58" t="s">
        <v>54</v>
      </c>
      <c r="F29" s="58"/>
      <c r="G29" s="58"/>
      <c r="H29" s="58"/>
    </row>
    <row r="30" spans="2:8" ht="21.75" customHeight="1" x14ac:dyDescent="0.3">
      <c r="B30" s="2" t="s">
        <v>55</v>
      </c>
      <c r="C30" s="60" t="s">
        <v>56</v>
      </c>
      <c r="D30" s="60"/>
      <c r="E30" s="61" t="s">
        <v>57</v>
      </c>
      <c r="F30" s="61"/>
      <c r="G30" s="61"/>
      <c r="H30" s="61"/>
    </row>
    <row r="31" spans="2:8" ht="21.75" customHeight="1" x14ac:dyDescent="0.3">
      <c r="B31" s="3" t="s">
        <v>58</v>
      </c>
      <c r="C31" s="62" t="s">
        <v>59</v>
      </c>
      <c r="D31" s="62"/>
      <c r="E31" s="58" t="s">
        <v>60</v>
      </c>
      <c r="F31" s="58"/>
      <c r="G31" s="58"/>
      <c r="H31" s="58"/>
    </row>
    <row r="32" spans="2:8" ht="21.75" customHeight="1" x14ac:dyDescent="0.3">
      <c r="B32" s="4" t="s">
        <v>61</v>
      </c>
      <c r="C32" s="63" t="s">
        <v>62</v>
      </c>
      <c r="D32" s="63"/>
      <c r="E32" s="61" t="s">
        <v>63</v>
      </c>
      <c r="F32" s="61"/>
      <c r="G32" s="61"/>
      <c r="H32" s="61"/>
    </row>
    <row r="33" spans="2:8" ht="21.75" customHeight="1" x14ac:dyDescent="0.3">
      <c r="B33" s="5" t="s">
        <v>64</v>
      </c>
      <c r="C33" s="57" t="s">
        <v>65</v>
      </c>
      <c r="D33" s="57"/>
      <c r="E33" s="58" t="s">
        <v>66</v>
      </c>
      <c r="F33" s="58"/>
      <c r="G33" s="58"/>
      <c r="H33" s="58"/>
    </row>
    <row r="34" spans="2:8" ht="7.5" customHeight="1" x14ac:dyDescent="0.3"/>
    <row r="35" spans="2:8" ht="18" customHeight="1" x14ac:dyDescent="0.3">
      <c r="B35" s="59" t="s">
        <v>67</v>
      </c>
      <c r="C35" s="59"/>
      <c r="D35" s="59"/>
      <c r="E35" s="59"/>
      <c r="F35" s="59"/>
      <c r="G35" s="59"/>
      <c r="H35" s="59"/>
    </row>
    <row r="36" spans="2:8" ht="18" customHeight="1" x14ac:dyDescent="0.3"/>
    <row r="37" spans="2:8" ht="18" customHeight="1" x14ac:dyDescent="0.3"/>
    <row r="38" spans="2:8" ht="18" customHeight="1" x14ac:dyDescent="0.3"/>
    <row r="39" spans="2:8" ht="18" customHeight="1" x14ac:dyDescent="0.3"/>
    <row r="40" spans="2:8" ht="18" customHeight="1" x14ac:dyDescent="0.3"/>
    <row r="41" spans="2:8" ht="18" customHeight="1" x14ac:dyDescent="0.3"/>
    <row r="42" spans="2:8" ht="18" customHeight="1" x14ac:dyDescent="0.3"/>
    <row r="43" spans="2:8" ht="18" customHeight="1" x14ac:dyDescent="0.3"/>
    <row r="44" spans="2:8" ht="18" customHeight="1" x14ac:dyDescent="0.3"/>
    <row r="45" spans="2:8" ht="18" customHeight="1" x14ac:dyDescent="0.3"/>
    <row r="46" spans="2:8" ht="18" customHeight="1" x14ac:dyDescent="0.3"/>
    <row r="47" spans="2:8" ht="18" customHeight="1" x14ac:dyDescent="0.3"/>
    <row r="48" spans="2: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</sheetData>
  <mergeCells count="78">
    <mergeCell ref="B1:H1"/>
    <mergeCell ref="B2:H2"/>
    <mergeCell ref="B3:H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9:H9"/>
    <mergeCell ref="B10:C10"/>
    <mergeCell ref="D10:E10"/>
    <mergeCell ref="F10:H10"/>
    <mergeCell ref="B11:C11"/>
    <mergeCell ref="D11:E11"/>
    <mergeCell ref="F11:H11"/>
    <mergeCell ref="B12:C12"/>
    <mergeCell ref="D12:E12"/>
    <mergeCell ref="F12:H12"/>
    <mergeCell ref="B13:C13"/>
    <mergeCell ref="D13:E13"/>
    <mergeCell ref="F13:H13"/>
    <mergeCell ref="B14:C14"/>
    <mergeCell ref="D14:E14"/>
    <mergeCell ref="F14:H14"/>
    <mergeCell ref="B15:C15"/>
    <mergeCell ref="D15:E15"/>
    <mergeCell ref="F15:H15"/>
    <mergeCell ref="B16:C16"/>
    <mergeCell ref="D16:E16"/>
    <mergeCell ref="F16:H16"/>
    <mergeCell ref="B17:C17"/>
    <mergeCell ref="D17:E17"/>
    <mergeCell ref="F17:H17"/>
    <mergeCell ref="B19:H19"/>
    <mergeCell ref="B20:C20"/>
    <mergeCell ref="D20:E20"/>
    <mergeCell ref="F20:G20"/>
    <mergeCell ref="B21:C21"/>
    <mergeCell ref="D21:E21"/>
    <mergeCell ref="F21:H21"/>
    <mergeCell ref="B22:C22"/>
    <mergeCell ref="D22:E22"/>
    <mergeCell ref="F22:H22"/>
    <mergeCell ref="B23:C23"/>
    <mergeCell ref="D23:E23"/>
    <mergeCell ref="F23:H23"/>
    <mergeCell ref="B24:C24"/>
    <mergeCell ref="D24:E24"/>
    <mergeCell ref="F24:H24"/>
    <mergeCell ref="B25:C25"/>
    <mergeCell ref="D25:E25"/>
    <mergeCell ref="F25:H25"/>
    <mergeCell ref="B26:C26"/>
    <mergeCell ref="D26:E26"/>
    <mergeCell ref="F26:H26"/>
    <mergeCell ref="B28:H28"/>
    <mergeCell ref="C29:D29"/>
    <mergeCell ref="E29:H29"/>
    <mergeCell ref="C33:D33"/>
    <mergeCell ref="E33:H33"/>
    <mergeCell ref="B35:H35"/>
    <mergeCell ref="C30:D30"/>
    <mergeCell ref="E30:H30"/>
    <mergeCell ref="C31:D31"/>
    <mergeCell ref="E31:H31"/>
    <mergeCell ref="C32:D32"/>
    <mergeCell ref="E32:H32"/>
  </mergeCells>
  <hyperlinks>
    <hyperlink ref="A1" r:id="rId1" xr:uid="{2C4A63C7-2ABC-4871-A63D-C1AC753BDB0E}"/>
  </hyperlinks>
  <pageMargins left="0.75" right="0.75" top="1" bottom="1" header="0.511811023622047" footer="0.511811023622047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B1:E38"/>
  <sheetViews>
    <sheetView showGridLines="0" topLeftCell="A14" zoomScaleNormal="100" workbookViewId="0"/>
  </sheetViews>
  <sheetFormatPr defaultColWidth="8.6640625" defaultRowHeight="14.4" x14ac:dyDescent="0.3"/>
  <cols>
    <col min="1" max="1" width="3" customWidth="1"/>
    <col min="2" max="2" width="38" customWidth="1"/>
    <col min="3" max="4" width="18" customWidth="1"/>
    <col min="5" max="5" width="22" customWidth="1"/>
    <col min="6" max="6" width="3" customWidth="1"/>
  </cols>
  <sheetData>
    <row r="1" spans="2:5" ht="27.75" customHeight="1" x14ac:dyDescent="0.3">
      <c r="B1" s="97" t="s">
        <v>68</v>
      </c>
      <c r="C1" s="97"/>
      <c r="D1" s="97"/>
      <c r="E1" s="97"/>
    </row>
    <row r="2" spans="2:5" ht="15.75" customHeight="1" x14ac:dyDescent="0.3">
      <c r="B2" s="6" t="s">
        <v>69</v>
      </c>
    </row>
    <row r="4" spans="2:5" ht="19.5" customHeight="1" x14ac:dyDescent="0.3">
      <c r="B4" s="98" t="s">
        <v>70</v>
      </c>
      <c r="C4" s="98"/>
      <c r="D4" s="98"/>
      <c r="E4" s="98"/>
    </row>
    <row r="5" spans="2:5" ht="15.75" customHeight="1" x14ac:dyDescent="0.3">
      <c r="B5" s="7" t="s">
        <v>33</v>
      </c>
      <c r="C5" s="7" t="s">
        <v>71</v>
      </c>
      <c r="D5" s="7" t="s">
        <v>72</v>
      </c>
      <c r="E5" s="7" t="s">
        <v>73</v>
      </c>
    </row>
    <row r="6" spans="2:5" ht="15.75" customHeight="1" x14ac:dyDescent="0.3">
      <c r="B6" s="8" t="s">
        <v>74</v>
      </c>
      <c r="C6" s="9" t="s">
        <v>75</v>
      </c>
      <c r="D6" s="9" t="s">
        <v>76</v>
      </c>
      <c r="E6" s="8" t="s">
        <v>77</v>
      </c>
    </row>
    <row r="7" spans="2:5" ht="15.75" customHeight="1" x14ac:dyDescent="0.3">
      <c r="B7" s="10" t="s">
        <v>78</v>
      </c>
      <c r="C7" s="11" t="s">
        <v>79</v>
      </c>
      <c r="D7" s="11" t="s">
        <v>80</v>
      </c>
      <c r="E7" s="10" t="s">
        <v>81</v>
      </c>
    </row>
    <row r="8" spans="2:5" ht="15.75" customHeight="1" x14ac:dyDescent="0.3">
      <c r="B8" s="8" t="s">
        <v>82</v>
      </c>
      <c r="C8" s="9" t="s">
        <v>83</v>
      </c>
      <c r="D8" s="9" t="s">
        <v>84</v>
      </c>
      <c r="E8" s="8" t="s">
        <v>81</v>
      </c>
    </row>
    <row r="9" spans="2:5" ht="15.75" customHeight="1" x14ac:dyDescent="0.3">
      <c r="B9" s="10" t="s">
        <v>85</v>
      </c>
      <c r="C9" s="11" t="s">
        <v>86</v>
      </c>
      <c r="D9" s="11" t="s">
        <v>87</v>
      </c>
      <c r="E9" s="10" t="s">
        <v>81</v>
      </c>
    </row>
    <row r="10" spans="2:5" ht="15.75" customHeight="1" x14ac:dyDescent="0.3">
      <c r="B10" s="8" t="s">
        <v>88</v>
      </c>
      <c r="C10" s="9" t="s">
        <v>89</v>
      </c>
      <c r="D10" s="9" t="s">
        <v>90</v>
      </c>
      <c r="E10" s="8" t="s">
        <v>81</v>
      </c>
    </row>
    <row r="11" spans="2:5" ht="15.75" customHeight="1" x14ac:dyDescent="0.3">
      <c r="B11" s="10" t="s">
        <v>91</v>
      </c>
      <c r="C11" s="11" t="s">
        <v>92</v>
      </c>
      <c r="D11" s="11" t="s">
        <v>92</v>
      </c>
      <c r="E11" s="10" t="s">
        <v>81</v>
      </c>
    </row>
    <row r="13" spans="2:5" ht="19.5" customHeight="1" x14ac:dyDescent="0.3">
      <c r="B13" s="55" t="s">
        <v>93</v>
      </c>
      <c r="C13" s="55"/>
      <c r="D13" s="55"/>
      <c r="E13" s="55"/>
    </row>
    <row r="14" spans="2:5" ht="15.75" customHeight="1" x14ac:dyDescent="0.3">
      <c r="B14" s="7" t="s">
        <v>33</v>
      </c>
      <c r="C14" s="7" t="s">
        <v>71</v>
      </c>
      <c r="D14" s="7" t="s">
        <v>72</v>
      </c>
      <c r="E14" s="7" t="s">
        <v>73</v>
      </c>
    </row>
    <row r="15" spans="2:5" ht="15.75" customHeight="1" x14ac:dyDescent="0.3">
      <c r="B15" s="8" t="s">
        <v>18</v>
      </c>
      <c r="C15" s="9" t="s">
        <v>94</v>
      </c>
      <c r="D15" s="9" t="s">
        <v>95</v>
      </c>
      <c r="E15" s="8" t="s">
        <v>96</v>
      </c>
    </row>
    <row r="16" spans="2:5" ht="15.75" customHeight="1" x14ac:dyDescent="0.3">
      <c r="B16" s="10" t="s">
        <v>20</v>
      </c>
      <c r="C16" s="11" t="s">
        <v>97</v>
      </c>
      <c r="D16" s="11" t="s">
        <v>98</v>
      </c>
      <c r="E16" s="10" t="s">
        <v>96</v>
      </c>
    </row>
    <row r="17" spans="2:5" ht="15.75" customHeight="1" x14ac:dyDescent="0.3">
      <c r="B17" s="8" t="s">
        <v>99</v>
      </c>
      <c r="C17" s="9" t="s">
        <v>100</v>
      </c>
      <c r="D17" s="9" t="s">
        <v>101</v>
      </c>
      <c r="E17" s="8" t="s">
        <v>96</v>
      </c>
    </row>
    <row r="18" spans="2:5" ht="15.75" customHeight="1" x14ac:dyDescent="0.3">
      <c r="B18" s="10" t="s">
        <v>24</v>
      </c>
      <c r="C18" s="11" t="s">
        <v>102</v>
      </c>
      <c r="D18" s="11" t="s">
        <v>103</v>
      </c>
      <c r="E18" s="10" t="s">
        <v>96</v>
      </c>
    </row>
    <row r="19" spans="2:5" ht="15.75" customHeight="1" x14ac:dyDescent="0.3">
      <c r="B19" s="8" t="s">
        <v>104</v>
      </c>
      <c r="C19" s="9" t="s">
        <v>105</v>
      </c>
      <c r="D19" s="9" t="s">
        <v>106</v>
      </c>
      <c r="E19" s="8" t="s">
        <v>96</v>
      </c>
    </row>
    <row r="20" spans="2:5" ht="15.75" customHeight="1" x14ac:dyDescent="0.3">
      <c r="B20" s="10" t="s">
        <v>107</v>
      </c>
      <c r="C20" s="11" t="s">
        <v>108</v>
      </c>
      <c r="D20" s="11" t="s">
        <v>109</v>
      </c>
      <c r="E20" s="10" t="s">
        <v>96</v>
      </c>
    </row>
    <row r="21" spans="2:5" ht="15.75" customHeight="1" x14ac:dyDescent="0.3">
      <c r="B21" s="8" t="s">
        <v>110</v>
      </c>
      <c r="C21" s="9" t="s">
        <v>111</v>
      </c>
      <c r="D21" s="9" t="s">
        <v>112</v>
      </c>
      <c r="E21" s="8" t="s">
        <v>96</v>
      </c>
    </row>
    <row r="23" spans="2:5" ht="19.5" customHeight="1" x14ac:dyDescent="0.3">
      <c r="B23" s="99" t="s">
        <v>113</v>
      </c>
      <c r="C23" s="99"/>
      <c r="D23" s="99"/>
      <c r="E23" s="99"/>
    </row>
    <row r="24" spans="2:5" ht="15.75" customHeight="1" x14ac:dyDescent="0.3">
      <c r="B24" s="7" t="s">
        <v>33</v>
      </c>
      <c r="C24" s="7" t="s">
        <v>71</v>
      </c>
      <c r="D24" s="7" t="s">
        <v>72</v>
      </c>
      <c r="E24" s="7" t="s">
        <v>73</v>
      </c>
    </row>
    <row r="25" spans="2:5" ht="15.75" customHeight="1" x14ac:dyDescent="0.3">
      <c r="B25" s="8" t="s">
        <v>114</v>
      </c>
      <c r="C25" s="9" t="s">
        <v>108</v>
      </c>
      <c r="D25" s="9" t="s">
        <v>109</v>
      </c>
      <c r="E25" s="8" t="s">
        <v>115</v>
      </c>
    </row>
    <row r="26" spans="2:5" ht="15.75" customHeight="1" x14ac:dyDescent="0.3">
      <c r="B26" s="10" t="s">
        <v>116</v>
      </c>
      <c r="C26" s="11" t="s">
        <v>100</v>
      </c>
      <c r="D26" s="11" t="s">
        <v>101</v>
      </c>
      <c r="E26" s="10" t="s">
        <v>115</v>
      </c>
    </row>
    <row r="27" spans="2:5" ht="15.75" customHeight="1" x14ac:dyDescent="0.3">
      <c r="B27" s="8" t="s">
        <v>117</v>
      </c>
      <c r="C27" s="9" t="s">
        <v>118</v>
      </c>
      <c r="D27" s="9" t="s">
        <v>119</v>
      </c>
      <c r="E27" s="8" t="s">
        <v>115</v>
      </c>
    </row>
    <row r="28" spans="2:5" ht="15.75" customHeight="1" x14ac:dyDescent="0.3">
      <c r="B28" s="10" t="s">
        <v>120</v>
      </c>
      <c r="C28" s="11" t="s">
        <v>121</v>
      </c>
      <c r="D28" s="11" t="s">
        <v>122</v>
      </c>
      <c r="E28" s="10" t="s">
        <v>115</v>
      </c>
    </row>
    <row r="29" spans="2:5" ht="15.75" customHeight="1" x14ac:dyDescent="0.3">
      <c r="B29" s="8" t="s">
        <v>123</v>
      </c>
      <c r="C29" s="9" t="s">
        <v>124</v>
      </c>
      <c r="D29" s="9" t="s">
        <v>124</v>
      </c>
      <c r="E29" s="8" t="s">
        <v>115</v>
      </c>
    </row>
    <row r="30" spans="2:5" ht="15.75" customHeight="1" x14ac:dyDescent="0.3">
      <c r="B30" s="10" t="s">
        <v>125</v>
      </c>
      <c r="C30" s="11" t="s">
        <v>126</v>
      </c>
      <c r="D30" s="11" t="s">
        <v>126</v>
      </c>
      <c r="E30" s="10" t="s">
        <v>127</v>
      </c>
    </row>
    <row r="32" spans="2:5" ht="19.5" customHeight="1" x14ac:dyDescent="0.3">
      <c r="B32" s="100" t="s">
        <v>128</v>
      </c>
      <c r="C32" s="100"/>
      <c r="D32" s="100"/>
      <c r="E32" s="100"/>
    </row>
    <row r="33" spans="2:5" ht="15.75" customHeight="1" x14ac:dyDescent="0.3">
      <c r="B33" s="7" t="s">
        <v>33</v>
      </c>
      <c r="C33" s="7" t="s">
        <v>71</v>
      </c>
      <c r="D33" s="7" t="s">
        <v>72</v>
      </c>
      <c r="E33" s="7" t="s">
        <v>73</v>
      </c>
    </row>
    <row r="34" spans="2:5" ht="15.75" customHeight="1" x14ac:dyDescent="0.3">
      <c r="B34" s="8" t="s">
        <v>129</v>
      </c>
      <c r="C34" s="9" t="s">
        <v>130</v>
      </c>
      <c r="D34" s="9" t="s">
        <v>130</v>
      </c>
      <c r="E34" s="8" t="s">
        <v>131</v>
      </c>
    </row>
    <row r="35" spans="2:5" ht="15.75" customHeight="1" x14ac:dyDescent="0.3">
      <c r="B35" s="10" t="s">
        <v>132</v>
      </c>
      <c r="C35" s="11" t="s">
        <v>133</v>
      </c>
      <c r="D35" s="11" t="s">
        <v>133</v>
      </c>
      <c r="E35" s="10" t="s">
        <v>131</v>
      </c>
    </row>
    <row r="36" spans="2:5" ht="15.75" customHeight="1" x14ac:dyDescent="0.3">
      <c r="B36" s="8" t="s">
        <v>134</v>
      </c>
      <c r="C36" s="9" t="s">
        <v>135</v>
      </c>
      <c r="D36" s="9" t="s">
        <v>135</v>
      </c>
      <c r="E36" s="8" t="s">
        <v>131</v>
      </c>
    </row>
    <row r="37" spans="2:5" ht="15.75" customHeight="1" x14ac:dyDescent="0.3">
      <c r="B37" s="10" t="s">
        <v>136</v>
      </c>
      <c r="C37" s="11" t="s">
        <v>137</v>
      </c>
      <c r="D37" s="11" t="s">
        <v>137</v>
      </c>
      <c r="E37" s="10" t="s">
        <v>131</v>
      </c>
    </row>
    <row r="38" spans="2:5" ht="15.75" customHeight="1" x14ac:dyDescent="0.3">
      <c r="B38" s="8" t="s">
        <v>138</v>
      </c>
      <c r="C38" s="9" t="s">
        <v>139</v>
      </c>
      <c r="D38" s="9" t="s">
        <v>139</v>
      </c>
      <c r="E38" s="8" t="s">
        <v>131</v>
      </c>
    </row>
  </sheetData>
  <mergeCells count="5">
    <mergeCell ref="B1:E1"/>
    <mergeCell ref="B4:E4"/>
    <mergeCell ref="B13:E13"/>
    <mergeCell ref="B23:E23"/>
    <mergeCell ref="B32:E32"/>
  </mergeCells>
  <pageMargins left="0.75" right="0.75" top="1" bottom="1" header="0.511811023622047" footer="0.511811023622047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B1:F31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8" customWidth="1"/>
    <col min="3" max="6" width="20" customWidth="1"/>
    <col min="7" max="7" width="3" customWidth="1"/>
  </cols>
  <sheetData>
    <row r="1" spans="2:6" ht="27.75" customHeight="1" x14ac:dyDescent="0.3">
      <c r="B1" s="103" t="s">
        <v>140</v>
      </c>
      <c r="C1" s="103"/>
      <c r="D1" s="103"/>
      <c r="E1" s="103"/>
      <c r="F1" s="103"/>
    </row>
    <row r="3" spans="2:6" ht="19.5" customHeight="1" x14ac:dyDescent="0.3">
      <c r="B3" s="51" t="s">
        <v>141</v>
      </c>
      <c r="C3" s="51"/>
      <c r="D3" s="104" t="s">
        <v>142</v>
      </c>
      <c r="E3" s="104"/>
      <c r="F3" s="104"/>
    </row>
    <row r="4" spans="2:6" ht="18" customHeight="1" x14ac:dyDescent="0.3">
      <c r="B4" s="12" t="s">
        <v>143</v>
      </c>
      <c r="C4" s="13">
        <v>5000</v>
      </c>
      <c r="D4" s="12" t="s">
        <v>144</v>
      </c>
      <c r="E4" s="101">
        <f>C4*12*C6</f>
        <v>1200000</v>
      </c>
      <c r="F4" s="101"/>
    </row>
    <row r="5" spans="2:6" ht="18" customHeight="1" x14ac:dyDescent="0.3">
      <c r="B5" s="12" t="s">
        <v>145</v>
      </c>
      <c r="C5" s="14">
        <v>0.12</v>
      </c>
      <c r="D5" s="12" t="s">
        <v>146</v>
      </c>
      <c r="E5" s="101">
        <f>C4*((((1+C5/12)^(C6*12))-1)/(C5/12))*(1+C5/12)</f>
        <v>4995739.5952061834</v>
      </c>
      <c r="F5" s="101"/>
    </row>
    <row r="6" spans="2:6" ht="18" customHeight="1" x14ac:dyDescent="0.3">
      <c r="B6" s="12" t="s">
        <v>147</v>
      </c>
      <c r="C6" s="15">
        <v>20</v>
      </c>
      <c r="D6" s="12" t="s">
        <v>148</v>
      </c>
      <c r="E6" s="101">
        <f>E5-E4</f>
        <v>3795739.5952061834</v>
      </c>
      <c r="F6" s="101"/>
    </row>
    <row r="7" spans="2:6" ht="18" customHeight="1" x14ac:dyDescent="0.3">
      <c r="B7" s="12" t="s">
        <v>149</v>
      </c>
      <c r="C7" s="14">
        <v>0.1</v>
      </c>
      <c r="D7" s="12" t="s">
        <v>150</v>
      </c>
      <c r="E7" s="102">
        <f>IFERROR(E5/E4,0)</f>
        <v>4.1631163293384859</v>
      </c>
      <c r="F7" s="102"/>
    </row>
    <row r="9" spans="2:6" ht="9.75" customHeight="1" x14ac:dyDescent="0.3"/>
    <row r="10" spans="2:6" ht="19.5" customHeight="1" x14ac:dyDescent="0.3">
      <c r="B10" s="51" t="s">
        <v>151</v>
      </c>
      <c r="C10" s="51"/>
      <c r="D10" s="51"/>
      <c r="E10" s="51"/>
      <c r="F10" s="51"/>
    </row>
    <row r="11" spans="2:6" ht="18" customHeight="1" x14ac:dyDescent="0.3">
      <c r="B11" s="16" t="s">
        <v>152</v>
      </c>
      <c r="C11" s="16" t="s">
        <v>153</v>
      </c>
      <c r="D11" s="16" t="s">
        <v>154</v>
      </c>
      <c r="E11" s="16" t="s">
        <v>155</v>
      </c>
      <c r="F11" s="16" t="s">
        <v>156</v>
      </c>
    </row>
    <row r="12" spans="2:6" ht="16.5" customHeight="1" x14ac:dyDescent="0.3">
      <c r="B12" s="17">
        <v>1</v>
      </c>
      <c r="C12" s="18">
        <f>C4*(1+C7)^(1-1)</f>
        <v>5000</v>
      </c>
      <c r="D12" s="19">
        <f>C4*12*1</f>
        <v>60000</v>
      </c>
      <c r="E12" s="19">
        <f>C4*((((1+C5/12)^(1*12))-1)/(C5/12))*(1+C5/12)</f>
        <v>64046.64021664473</v>
      </c>
      <c r="F12" s="20">
        <f t="shared" ref="F12:F31" si="0">E12-D12</f>
        <v>4046.6402166447297</v>
      </c>
    </row>
    <row r="13" spans="2:6" ht="16.5" customHeight="1" x14ac:dyDescent="0.3">
      <c r="B13" s="21">
        <v>2</v>
      </c>
      <c r="C13" s="22">
        <f>C4*(1+C7)^(2-1)</f>
        <v>5500</v>
      </c>
      <c r="D13" s="23">
        <f>C4*12*2</f>
        <v>120000</v>
      </c>
      <c r="E13" s="23">
        <f>C4*((((1+C5/12)^(2*12))-1)/(C5/12))*(1+C5/12)</f>
        <v>136215.99750861706</v>
      </c>
      <c r="F13" s="24">
        <f t="shared" si="0"/>
        <v>16215.99750861706</v>
      </c>
    </row>
    <row r="14" spans="2:6" ht="16.5" customHeight="1" x14ac:dyDescent="0.3">
      <c r="B14" s="17">
        <v>3</v>
      </c>
      <c r="C14" s="18">
        <f>C4*(1+C7)^(3-1)</f>
        <v>6050.0000000000009</v>
      </c>
      <c r="D14" s="19">
        <f>C4*12*3</f>
        <v>180000</v>
      </c>
      <c r="E14" s="19">
        <f>C4*((((1+C5/12)^(3*12))-1)/(C5/12))*(1+C5/12)</f>
        <v>217538.23571374841</v>
      </c>
      <c r="F14" s="20">
        <f t="shared" si="0"/>
        <v>37538.235713748407</v>
      </c>
    </row>
    <row r="15" spans="2:6" ht="16.5" customHeight="1" x14ac:dyDescent="0.3">
      <c r="B15" s="21">
        <v>4</v>
      </c>
      <c r="C15" s="22">
        <f>C4*(1+C7)^(4-1)</f>
        <v>6655.0000000000018</v>
      </c>
      <c r="D15" s="23">
        <f>C4*12*4</f>
        <v>240000</v>
      </c>
      <c r="E15" s="23">
        <f>C4*((((1+C5/12)^(4*12))-1)/(C5/12))*(1+C5/12)</f>
        <v>309174.16922964499</v>
      </c>
      <c r="F15" s="24">
        <f t="shared" si="0"/>
        <v>69174.169229644991</v>
      </c>
    </row>
    <row r="16" spans="2:6" ht="16.5" customHeight="1" x14ac:dyDescent="0.3">
      <c r="B16" s="25">
        <v>5</v>
      </c>
      <c r="C16" s="26">
        <f>C4*(1+C7)^(5-1)</f>
        <v>7320.5000000000018</v>
      </c>
      <c r="D16" s="27">
        <f>C4*12*5</f>
        <v>300000</v>
      </c>
      <c r="E16" s="28">
        <f>C4*((((1+C5/12)^(5*12))-1)/(C5/12))*(1+C5/12)</f>
        <v>412431.83277486614</v>
      </c>
      <c r="F16" s="29">
        <f t="shared" si="0"/>
        <v>112431.83277486614</v>
      </c>
    </row>
    <row r="17" spans="2:6" ht="16.5" customHeight="1" x14ac:dyDescent="0.3">
      <c r="B17" s="21">
        <v>6</v>
      </c>
      <c r="C17" s="22">
        <f>C4*(1+C7)^(6-1)</f>
        <v>8052.5500000000029</v>
      </c>
      <c r="D17" s="23">
        <f>C4*12*6</f>
        <v>360000</v>
      </c>
      <c r="E17" s="23">
        <f>C4*((((1+C5/12)^(6*12))-1)/(C5/12))*(1+C5/12)</f>
        <v>528785.15261056705</v>
      </c>
      <c r="F17" s="24">
        <f t="shared" si="0"/>
        <v>168785.15261056705</v>
      </c>
    </row>
    <row r="18" spans="2:6" ht="16.5" customHeight="1" x14ac:dyDescent="0.3">
      <c r="B18" s="17">
        <v>7</v>
      </c>
      <c r="C18" s="18">
        <f>C4*(1+C7)^(7-1)</f>
        <v>8857.8050000000039</v>
      </c>
      <c r="D18" s="19">
        <f>C4*12*7</f>
        <v>420000</v>
      </c>
      <c r="E18" s="19">
        <f>C4*((((1+C5/12)^(7*12))-1)/(C5/12))*(1+C5/12)</f>
        <v>659894.98574038525</v>
      </c>
      <c r="F18" s="20">
        <f t="shared" si="0"/>
        <v>239894.98574038525</v>
      </c>
    </row>
    <row r="19" spans="2:6" ht="16.5" customHeight="1" x14ac:dyDescent="0.3">
      <c r="B19" s="21">
        <v>8</v>
      </c>
      <c r="C19" s="22">
        <f>C4*(1+C7)^(8-1)</f>
        <v>9743.5855000000065</v>
      </c>
      <c r="D19" s="23">
        <f>C4*12*8</f>
        <v>480000</v>
      </c>
      <c r="E19" s="23">
        <f>C4*((((1+C5/12)^(8*12))-1)/(C5/12))*(1+C5/12)</f>
        <v>807632.82740749011</v>
      </c>
      <c r="F19" s="24">
        <f t="shared" si="0"/>
        <v>327632.82740749011</v>
      </c>
    </row>
    <row r="20" spans="2:6" ht="16.5" customHeight="1" x14ac:dyDescent="0.3">
      <c r="B20" s="17">
        <v>9</v>
      </c>
      <c r="C20" s="18">
        <f>C4*(1+C7)^(9-1)</f>
        <v>10717.944050000006</v>
      </c>
      <c r="D20" s="19">
        <f>C4*12*9</f>
        <v>540000</v>
      </c>
      <c r="E20" s="19">
        <f>C4*((((1+C5/12)^(9*12))-1)/(C5/12))*(1+C5/12)</f>
        <v>974107.5252956578</v>
      </c>
      <c r="F20" s="20">
        <f t="shared" si="0"/>
        <v>434107.5252956578</v>
      </c>
    </row>
    <row r="21" spans="2:6" ht="16.5" customHeight="1" x14ac:dyDescent="0.3">
      <c r="B21" s="25">
        <v>10</v>
      </c>
      <c r="C21" s="26">
        <f>C4*(1+C7)^(10-1)</f>
        <v>11789.738455000008</v>
      </c>
      <c r="D21" s="27">
        <f>C4*12*10</f>
        <v>600000</v>
      </c>
      <c r="E21" s="28">
        <f>C4*((((1+C5/12)^(10*12))-1)/(C5/12))*(1+C5/12)</f>
        <v>1161695.3817597034</v>
      </c>
      <c r="F21" s="29">
        <f t="shared" si="0"/>
        <v>561695.38175970339</v>
      </c>
    </row>
    <row r="22" spans="2:6" ht="16.5" customHeight="1" x14ac:dyDescent="0.3">
      <c r="B22" s="17">
        <v>11</v>
      </c>
      <c r="C22" s="18">
        <f>C4*(1+C7)^(11-1)</f>
        <v>12968.712300500008</v>
      </c>
      <c r="D22" s="19">
        <f>C4*12*11</f>
        <v>660000</v>
      </c>
      <c r="E22" s="19">
        <f>C4*((((1+C5/12)^(11*12))-1)/(C5/12))*(1+C5/12)</f>
        <v>1373074.0737721925</v>
      </c>
      <c r="F22" s="20">
        <f t="shared" si="0"/>
        <v>713074.07377219247</v>
      </c>
    </row>
    <row r="23" spans="2:6" ht="16.5" customHeight="1" x14ac:dyDescent="0.3">
      <c r="B23" s="21">
        <v>12</v>
      </c>
      <c r="C23" s="22">
        <f>C4*(1+C7)^(12-1)</f>
        <v>14265.583530550013</v>
      </c>
      <c r="D23" s="23">
        <f>C4*12*12</f>
        <v>720000</v>
      </c>
      <c r="E23" s="23">
        <f>C4*((((1+C5/12)^(12*12))-1)/(C5/12))*(1+C5/12)</f>
        <v>1611260.8747684222</v>
      </c>
      <c r="F23" s="24">
        <f t="shared" si="0"/>
        <v>891260.87476842222</v>
      </c>
    </row>
    <row r="24" spans="2:6" ht="16.5" customHeight="1" x14ac:dyDescent="0.3">
      <c r="B24" s="17">
        <v>13</v>
      </c>
      <c r="C24" s="18">
        <f>C4*(1+C7)^(13-1)</f>
        <v>15692.141883605012</v>
      </c>
      <c r="D24" s="19">
        <f>C4*12*13</f>
        <v>780000</v>
      </c>
      <c r="E24" s="19">
        <f>C4*((((1+C5/12)^(13*12))-1)/(C5/12))*(1+C5/12)</f>
        <v>1879655.7239780359</v>
      </c>
      <c r="F24" s="20">
        <f t="shared" si="0"/>
        <v>1099655.7239780359</v>
      </c>
    </row>
    <row r="25" spans="2:6" ht="16.5" customHeight="1" x14ac:dyDescent="0.3">
      <c r="B25" s="21">
        <v>14</v>
      </c>
      <c r="C25" s="22">
        <f>C4*(1+C7)^(14-1)</f>
        <v>17261.356071965514</v>
      </c>
      <c r="D25" s="23">
        <f>C4*12*14</f>
        <v>840000</v>
      </c>
      <c r="E25" s="23">
        <f>C4*((((1+C5/12)^(14*12))-1)/(C5/12))*(1+C5/12)</f>
        <v>2182089.7580259251</v>
      </c>
      <c r="F25" s="24">
        <f t="shared" si="0"/>
        <v>1342089.7580259251</v>
      </c>
    </row>
    <row r="26" spans="2:6" ht="16.5" customHeight="1" x14ac:dyDescent="0.3">
      <c r="B26" s="25">
        <v>15</v>
      </c>
      <c r="C26" s="26">
        <f>C4*(1+C7)^(15-1)</f>
        <v>18987.491679162071</v>
      </c>
      <c r="D26" s="27">
        <f>C4*12*15</f>
        <v>900000</v>
      </c>
      <c r="E26" s="28">
        <f>C4*((((1+C5/12)^(15*12))-1)/(C5/12))*(1+C5/12)</f>
        <v>2522879.9975548708</v>
      </c>
      <c r="F26" s="29">
        <f t="shared" si="0"/>
        <v>1622879.9975548708</v>
      </c>
    </row>
    <row r="27" spans="2:6" ht="16.5" customHeight="1" x14ac:dyDescent="0.3">
      <c r="B27" s="21">
        <v>16</v>
      </c>
      <c r="C27" s="22">
        <f>C4*(1+C7)^(16-1)</f>
        <v>20886.240847078276</v>
      </c>
      <c r="D27" s="23">
        <f>C4*12*16</f>
        <v>960000</v>
      </c>
      <c r="E27" s="23">
        <f>C4*((((1+C5/12)^(16*12))-1)/(C5/12))*(1+C5/12)</f>
        <v>2906890.9694807562</v>
      </c>
      <c r="F27" s="24">
        <f t="shared" si="0"/>
        <v>1946890.9694807562</v>
      </c>
    </row>
    <row r="28" spans="2:6" ht="16.5" customHeight="1" x14ac:dyDescent="0.3">
      <c r="B28" s="17">
        <v>17</v>
      </c>
      <c r="C28" s="18">
        <f>C4*(1+C7)^(17-1)</f>
        <v>22974.864931786105</v>
      </c>
      <c r="D28" s="19">
        <f>C4*12*17</f>
        <v>1020000</v>
      </c>
      <c r="E28" s="19">
        <f>C4*((((1+C5/12)^(17*12))-1)/(C5/12))*(1+C5/12)</f>
        <v>3339604.1444921484</v>
      </c>
      <c r="F28" s="20">
        <f t="shared" si="0"/>
        <v>2319604.1444921484</v>
      </c>
    </row>
    <row r="29" spans="2:6" ht="16.5" customHeight="1" x14ac:dyDescent="0.3">
      <c r="B29" s="21">
        <v>18</v>
      </c>
      <c r="C29" s="22">
        <f>C4*(1+C7)^(18-1)</f>
        <v>25272.351424964716</v>
      </c>
      <c r="D29" s="23">
        <f>C4*12*18</f>
        <v>1080000</v>
      </c>
      <c r="E29" s="23">
        <f>C4*((((1+C5/12)^(18*12))-1)/(C5/12))*(1+C5/12)</f>
        <v>3827196.180962862</v>
      </c>
      <c r="F29" s="24">
        <f t="shared" si="0"/>
        <v>2747196.180962862</v>
      </c>
    </row>
    <row r="30" spans="2:6" ht="16.5" customHeight="1" x14ac:dyDescent="0.3">
      <c r="B30" s="17">
        <v>19</v>
      </c>
      <c r="C30" s="18">
        <f>C4*(1+C7)^(19-1)</f>
        <v>27799.586567461189</v>
      </c>
      <c r="D30" s="19">
        <f>C4*12*19</f>
        <v>1140000</v>
      </c>
      <c r="E30" s="19">
        <f>C4*((((1+C5/12)^(19*12))-1)/(C5/12))*(1+C5/12)</f>
        <v>4376627.0921510812</v>
      </c>
      <c r="F30" s="20">
        <f t="shared" si="0"/>
        <v>3236627.0921510812</v>
      </c>
    </row>
    <row r="31" spans="2:6" ht="16.5" customHeight="1" x14ac:dyDescent="0.3">
      <c r="B31" s="25">
        <v>20</v>
      </c>
      <c r="C31" s="26">
        <f>C4*(1+C7)^(20-1)</f>
        <v>30579.545224207315</v>
      </c>
      <c r="D31" s="27">
        <f>C4*12*20</f>
        <v>1200000</v>
      </c>
      <c r="E31" s="28">
        <f>C4*((((1+C5/12)^(20*12))-1)/(C5/12))*(1+C5/12)</f>
        <v>4995739.5952061834</v>
      </c>
      <c r="F31" s="29">
        <f t="shared" si="0"/>
        <v>3795739.5952061834</v>
      </c>
    </row>
  </sheetData>
  <mergeCells count="8">
    <mergeCell ref="E6:F6"/>
    <mergeCell ref="E7:F7"/>
    <mergeCell ref="B10:F10"/>
    <mergeCell ref="B1:F1"/>
    <mergeCell ref="B3:C3"/>
    <mergeCell ref="D3:F3"/>
    <mergeCell ref="E4:F4"/>
    <mergeCell ref="E5:F5"/>
  </mergeCells>
  <pageMargins left="0.75" right="0.75" top="1" bottom="1" header="0.511811023622047" footer="0.511811023622047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B1:D31"/>
  <sheetViews>
    <sheetView showGridLines="0" tabSelected="1" zoomScaleNormal="100" workbookViewId="0"/>
  </sheetViews>
  <sheetFormatPr defaultColWidth="8.6640625" defaultRowHeight="14.4" x14ac:dyDescent="0.3"/>
  <cols>
    <col min="1" max="1" width="3" customWidth="1"/>
    <col min="2" max="2" width="30" customWidth="1"/>
    <col min="3" max="3" width="26" customWidth="1"/>
    <col min="4" max="4" width="64.33203125" customWidth="1"/>
    <col min="5" max="5" width="3" customWidth="1"/>
  </cols>
  <sheetData>
    <row r="1" spans="2:4" ht="27.75" customHeight="1" x14ac:dyDescent="0.3">
      <c r="B1" s="109" t="s">
        <v>157</v>
      </c>
      <c r="C1" s="109"/>
      <c r="D1" s="109"/>
    </row>
    <row r="3" spans="2:4" ht="21.75" customHeight="1" x14ac:dyDescent="0.3">
      <c r="B3" s="110" t="s">
        <v>158</v>
      </c>
      <c r="C3" s="110"/>
      <c r="D3" s="110"/>
    </row>
    <row r="4" spans="2:4" ht="19.5" customHeight="1" x14ac:dyDescent="0.3">
      <c r="B4" s="30" t="s">
        <v>159</v>
      </c>
      <c r="C4" s="108" t="s">
        <v>160</v>
      </c>
      <c r="D4" s="108"/>
    </row>
    <row r="5" spans="2:4" ht="19.5" customHeight="1" x14ac:dyDescent="0.3">
      <c r="B5" s="31" t="s">
        <v>161</v>
      </c>
      <c r="C5" s="106" t="s">
        <v>162</v>
      </c>
      <c r="D5" s="106"/>
    </row>
    <row r="6" spans="2:4" ht="19.5" customHeight="1" x14ac:dyDescent="0.3">
      <c r="B6" s="30" t="s">
        <v>163</v>
      </c>
      <c r="C6" s="108" t="s">
        <v>164</v>
      </c>
      <c r="D6" s="108"/>
    </row>
    <row r="7" spans="2:4" ht="19.5" customHeight="1" x14ac:dyDescent="0.3">
      <c r="B7" s="31" t="s">
        <v>165</v>
      </c>
      <c r="C7" s="106" t="s">
        <v>166</v>
      </c>
      <c r="D7" s="106"/>
    </row>
    <row r="8" spans="2:4" ht="19.5" customHeight="1" x14ac:dyDescent="0.3">
      <c r="B8" s="30" t="s">
        <v>167</v>
      </c>
      <c r="C8" s="108" t="s">
        <v>168</v>
      </c>
      <c r="D8" s="108"/>
    </row>
    <row r="9" spans="2:4" ht="19.5" customHeight="1" x14ac:dyDescent="0.3">
      <c r="B9" s="31" t="s">
        <v>169</v>
      </c>
      <c r="C9" s="106" t="s">
        <v>170</v>
      </c>
      <c r="D9" s="106"/>
    </row>
    <row r="10" spans="2:4" ht="19.5" customHeight="1" x14ac:dyDescent="0.3">
      <c r="B10" s="30" t="s">
        <v>171</v>
      </c>
      <c r="C10" s="108" t="s">
        <v>172</v>
      </c>
      <c r="D10" s="108"/>
    </row>
    <row r="11" spans="2:4" ht="19.5" customHeight="1" x14ac:dyDescent="0.3">
      <c r="B11" s="31" t="s">
        <v>173</v>
      </c>
      <c r="C11" s="106" t="s">
        <v>174</v>
      </c>
      <c r="D11" s="106"/>
    </row>
    <row r="12" spans="2:4" ht="9.75" customHeight="1" x14ac:dyDescent="0.3"/>
    <row r="13" spans="2:4" ht="21.75" customHeight="1" x14ac:dyDescent="0.3">
      <c r="B13" s="76" t="s">
        <v>175</v>
      </c>
      <c r="C13" s="76"/>
      <c r="D13" s="76"/>
    </row>
    <row r="14" spans="2:4" ht="19.5" customHeight="1" x14ac:dyDescent="0.3">
      <c r="B14" s="32" t="s">
        <v>159</v>
      </c>
      <c r="C14" s="105" t="s">
        <v>176</v>
      </c>
      <c r="D14" s="105"/>
    </row>
    <row r="15" spans="2:4" ht="19.5" customHeight="1" x14ac:dyDescent="0.3">
      <c r="B15" s="33" t="s">
        <v>177</v>
      </c>
      <c r="C15" s="106" t="s">
        <v>178</v>
      </c>
      <c r="D15" s="106"/>
    </row>
    <row r="16" spans="2:4" ht="19.5" customHeight="1" x14ac:dyDescent="0.3">
      <c r="B16" s="32" t="s">
        <v>163</v>
      </c>
      <c r="C16" s="105" t="s">
        <v>179</v>
      </c>
      <c r="D16" s="105"/>
    </row>
    <row r="17" spans="2:4" ht="19.5" customHeight="1" x14ac:dyDescent="0.3">
      <c r="B17" s="33" t="s">
        <v>180</v>
      </c>
      <c r="C17" s="106" t="s">
        <v>181</v>
      </c>
      <c r="D17" s="106"/>
    </row>
    <row r="18" spans="2:4" ht="19.5" customHeight="1" x14ac:dyDescent="0.3">
      <c r="B18" s="32" t="s">
        <v>182</v>
      </c>
      <c r="C18" s="105" t="s">
        <v>183</v>
      </c>
      <c r="D18" s="105"/>
    </row>
    <row r="19" spans="2:4" ht="19.5" customHeight="1" x14ac:dyDescent="0.3">
      <c r="B19" s="33" t="s">
        <v>184</v>
      </c>
      <c r="C19" s="106" t="s">
        <v>185</v>
      </c>
      <c r="D19" s="106"/>
    </row>
    <row r="20" spans="2:4" ht="19.5" customHeight="1" x14ac:dyDescent="0.3">
      <c r="B20" s="32" t="s">
        <v>169</v>
      </c>
      <c r="C20" s="105" t="s">
        <v>186</v>
      </c>
      <c r="D20" s="105"/>
    </row>
    <row r="21" spans="2:4" ht="19.5" customHeight="1" x14ac:dyDescent="0.3">
      <c r="B21" s="33" t="s">
        <v>187</v>
      </c>
      <c r="C21" s="106" t="s">
        <v>188</v>
      </c>
      <c r="D21" s="106"/>
    </row>
    <row r="22" spans="2:4" ht="9.75" customHeight="1" x14ac:dyDescent="0.3"/>
    <row r="23" spans="2:4" ht="21.75" customHeight="1" x14ac:dyDescent="0.3">
      <c r="B23" s="107" t="s">
        <v>189</v>
      </c>
      <c r="C23" s="107"/>
      <c r="D23" s="107"/>
    </row>
    <row r="24" spans="2:4" ht="18" customHeight="1" x14ac:dyDescent="0.3">
      <c r="B24" s="34" t="s">
        <v>190</v>
      </c>
      <c r="C24" s="35" t="s">
        <v>191</v>
      </c>
      <c r="D24" s="36" t="s">
        <v>192</v>
      </c>
    </row>
    <row r="25" spans="2:4" ht="18" customHeight="1" x14ac:dyDescent="0.3">
      <c r="B25" s="31" t="s">
        <v>193</v>
      </c>
      <c r="C25" s="21" t="s">
        <v>194</v>
      </c>
      <c r="D25" s="21" t="s">
        <v>195</v>
      </c>
    </row>
    <row r="26" spans="2:4" ht="18" customHeight="1" x14ac:dyDescent="0.3">
      <c r="B26" s="37" t="s">
        <v>196</v>
      </c>
      <c r="C26" s="38" t="s">
        <v>197</v>
      </c>
      <c r="D26" s="38" t="s">
        <v>198</v>
      </c>
    </row>
    <row r="27" spans="2:4" ht="18" customHeight="1" x14ac:dyDescent="0.3">
      <c r="B27" s="31" t="s">
        <v>199</v>
      </c>
      <c r="C27" s="21" t="s">
        <v>200</v>
      </c>
      <c r="D27" s="21" t="s">
        <v>201</v>
      </c>
    </row>
    <row r="28" spans="2:4" ht="18" customHeight="1" x14ac:dyDescent="0.3">
      <c r="B28" s="37" t="s">
        <v>202</v>
      </c>
      <c r="C28" s="38" t="s">
        <v>203</v>
      </c>
      <c r="D28" s="38" t="s">
        <v>204</v>
      </c>
    </row>
    <row r="29" spans="2:4" ht="18" customHeight="1" x14ac:dyDescent="0.3">
      <c r="B29" s="31" t="s">
        <v>205</v>
      </c>
      <c r="C29" s="21" t="s">
        <v>206</v>
      </c>
      <c r="D29" s="21" t="s">
        <v>206</v>
      </c>
    </row>
    <row r="30" spans="2:4" ht="18" customHeight="1" x14ac:dyDescent="0.3">
      <c r="B30" s="37" t="s">
        <v>207</v>
      </c>
      <c r="C30" s="38" t="s">
        <v>208</v>
      </c>
      <c r="D30" s="38" t="s">
        <v>208</v>
      </c>
    </row>
    <row r="31" spans="2:4" ht="18" customHeight="1" x14ac:dyDescent="0.3">
      <c r="B31" s="31" t="s">
        <v>209</v>
      </c>
      <c r="C31" s="21" t="s">
        <v>210</v>
      </c>
      <c r="D31" s="21" t="s">
        <v>211</v>
      </c>
    </row>
  </sheetData>
  <mergeCells count="20">
    <mergeCell ref="B1:D1"/>
    <mergeCell ref="B3:D3"/>
    <mergeCell ref="C4:D4"/>
    <mergeCell ref="C5:D5"/>
    <mergeCell ref="C6:D6"/>
    <mergeCell ref="C7:D7"/>
    <mergeCell ref="C8:D8"/>
    <mergeCell ref="C9:D9"/>
    <mergeCell ref="C10:D10"/>
    <mergeCell ref="C11:D11"/>
    <mergeCell ref="B13:D13"/>
    <mergeCell ref="C14:D14"/>
    <mergeCell ref="C15:D15"/>
    <mergeCell ref="C16:D16"/>
    <mergeCell ref="C17:D17"/>
    <mergeCell ref="C18:D18"/>
    <mergeCell ref="C19:D19"/>
    <mergeCell ref="C20:D20"/>
    <mergeCell ref="C21:D21"/>
    <mergeCell ref="B23:D23"/>
  </mergeCells>
  <pageMargins left="0.75" right="0.75" top="1" bottom="1" header="0.511811023622047" footer="0.511811023622047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B1:E36"/>
  <sheetViews>
    <sheetView showGridLines="0" zoomScaleNormal="100" workbookViewId="0">
      <selection activeCell="D10" sqref="D10"/>
    </sheetView>
  </sheetViews>
  <sheetFormatPr defaultColWidth="8.6640625" defaultRowHeight="14.4" x14ac:dyDescent="0.3"/>
  <cols>
    <col min="1" max="1" width="3" customWidth="1"/>
    <col min="2" max="2" width="28" customWidth="1"/>
    <col min="3" max="5" width="18" customWidth="1"/>
    <col min="6" max="6" width="3" customWidth="1"/>
  </cols>
  <sheetData>
    <row r="1" spans="2:5" ht="27.75" customHeight="1" x14ac:dyDescent="0.3">
      <c r="B1" s="52" t="s">
        <v>212</v>
      </c>
      <c r="C1" s="52"/>
      <c r="D1" s="52"/>
      <c r="E1" s="52"/>
    </row>
    <row r="2" spans="2:5" ht="15.75" customHeight="1" x14ac:dyDescent="0.3">
      <c r="B2" s="53" t="s">
        <v>213</v>
      </c>
      <c r="C2" s="53"/>
      <c r="D2" s="53"/>
      <c r="E2" s="53"/>
    </row>
    <row r="3" spans="2:5" ht="7.5" customHeight="1" x14ac:dyDescent="0.3"/>
    <row r="4" spans="2:5" ht="21.75" customHeight="1" x14ac:dyDescent="0.3">
      <c r="B4" s="39" t="s">
        <v>214</v>
      </c>
      <c r="C4" s="40">
        <v>30000</v>
      </c>
    </row>
    <row r="5" spans="2:5" ht="9.75" customHeight="1" x14ac:dyDescent="0.3"/>
    <row r="6" spans="2:5" ht="21.75" customHeight="1" x14ac:dyDescent="0.3">
      <c r="B6" s="54" t="s">
        <v>215</v>
      </c>
      <c r="C6" s="54"/>
      <c r="D6" s="54"/>
      <c r="E6" s="54"/>
    </row>
    <row r="7" spans="2:5" ht="15.75" customHeight="1" x14ac:dyDescent="0.3">
      <c r="B7" s="7" t="s">
        <v>216</v>
      </c>
      <c r="C7" s="7" t="s">
        <v>217</v>
      </c>
      <c r="D7" s="7" t="s">
        <v>218</v>
      </c>
      <c r="E7" s="7" t="s">
        <v>219</v>
      </c>
    </row>
    <row r="8" spans="2:5" ht="18" customHeight="1" x14ac:dyDescent="0.3">
      <c r="B8" s="41" t="s">
        <v>220</v>
      </c>
      <c r="C8" s="22">
        <f t="shared" ref="C8:C13" si="0">ROUND($C$4*0.5/6,0)</f>
        <v>2500</v>
      </c>
      <c r="D8" s="23">
        <v>0</v>
      </c>
      <c r="E8" s="42">
        <f t="shared" ref="E8:E13" si="1">C8-D8</f>
        <v>2500</v>
      </c>
    </row>
    <row r="9" spans="2:5" ht="18" customHeight="1" x14ac:dyDescent="0.3">
      <c r="B9" s="12" t="s">
        <v>221</v>
      </c>
      <c r="C9" s="18">
        <f t="shared" si="0"/>
        <v>2500</v>
      </c>
      <c r="D9" s="19">
        <v>0</v>
      </c>
      <c r="E9" s="43">
        <f t="shared" si="1"/>
        <v>2500</v>
      </c>
    </row>
    <row r="10" spans="2:5" ht="18" customHeight="1" x14ac:dyDescent="0.3">
      <c r="B10" s="41" t="s">
        <v>222</v>
      </c>
      <c r="C10" s="22">
        <f t="shared" si="0"/>
        <v>2500</v>
      </c>
      <c r="D10" s="23">
        <v>0</v>
      </c>
      <c r="E10" s="42">
        <f t="shared" si="1"/>
        <v>2500</v>
      </c>
    </row>
    <row r="11" spans="2:5" ht="18" customHeight="1" x14ac:dyDescent="0.3">
      <c r="B11" s="12" t="s">
        <v>223</v>
      </c>
      <c r="C11" s="18">
        <f t="shared" si="0"/>
        <v>2500</v>
      </c>
      <c r="D11" s="19">
        <v>0</v>
      </c>
      <c r="E11" s="43">
        <f t="shared" si="1"/>
        <v>2500</v>
      </c>
    </row>
    <row r="12" spans="2:5" ht="18" customHeight="1" x14ac:dyDescent="0.3">
      <c r="B12" s="41" t="s">
        <v>224</v>
      </c>
      <c r="C12" s="22">
        <f t="shared" si="0"/>
        <v>2500</v>
      </c>
      <c r="D12" s="23">
        <v>0</v>
      </c>
      <c r="E12" s="42">
        <f t="shared" si="1"/>
        <v>2500</v>
      </c>
    </row>
    <row r="13" spans="2:5" ht="18" customHeight="1" x14ac:dyDescent="0.3">
      <c r="B13" s="12" t="s">
        <v>225</v>
      </c>
      <c r="C13" s="18">
        <f t="shared" si="0"/>
        <v>2500</v>
      </c>
      <c r="D13" s="19">
        <v>0</v>
      </c>
      <c r="E13" s="43">
        <f t="shared" si="1"/>
        <v>2500</v>
      </c>
    </row>
    <row r="14" spans="2:5" ht="19.5" customHeight="1" x14ac:dyDescent="0.3">
      <c r="B14" s="44" t="s">
        <v>226</v>
      </c>
      <c r="C14" s="45">
        <f>SUM(C8:C13)</f>
        <v>15000</v>
      </c>
      <c r="D14" s="45">
        <f>SUM(D8:D13)</f>
        <v>0</v>
      </c>
      <c r="E14" s="45">
        <f>SUM(E8:E13)</f>
        <v>15000</v>
      </c>
    </row>
    <row r="16" spans="2:5" ht="21.75" customHeight="1" x14ac:dyDescent="0.3">
      <c r="B16" s="55" t="s">
        <v>227</v>
      </c>
      <c r="C16" s="55"/>
      <c r="D16" s="55"/>
      <c r="E16" s="55"/>
    </row>
    <row r="17" spans="2:5" ht="15.75" customHeight="1" x14ac:dyDescent="0.3">
      <c r="B17" s="7" t="s">
        <v>216</v>
      </c>
      <c r="C17" s="7" t="s">
        <v>217</v>
      </c>
      <c r="D17" s="7" t="s">
        <v>218</v>
      </c>
      <c r="E17" s="7" t="s">
        <v>219</v>
      </c>
    </row>
    <row r="18" spans="2:5" ht="18" customHeight="1" x14ac:dyDescent="0.3">
      <c r="B18" s="41" t="s">
        <v>228</v>
      </c>
      <c r="C18" s="22">
        <f t="shared" ref="C18:C23" si="2">ROUND($C$4*0.3/6,0)</f>
        <v>1500</v>
      </c>
      <c r="D18" s="23">
        <v>0</v>
      </c>
      <c r="E18" s="42">
        <f t="shared" ref="E18:E23" si="3">C18-D18</f>
        <v>1500</v>
      </c>
    </row>
    <row r="19" spans="2:5" ht="18" customHeight="1" x14ac:dyDescent="0.3">
      <c r="B19" s="12" t="s">
        <v>229</v>
      </c>
      <c r="C19" s="18">
        <f t="shared" si="2"/>
        <v>1500</v>
      </c>
      <c r="D19" s="19">
        <v>0</v>
      </c>
      <c r="E19" s="43">
        <f t="shared" si="3"/>
        <v>1500</v>
      </c>
    </row>
    <row r="20" spans="2:5" ht="18" customHeight="1" x14ac:dyDescent="0.3">
      <c r="B20" s="41" t="s">
        <v>230</v>
      </c>
      <c r="C20" s="22">
        <f t="shared" si="2"/>
        <v>1500</v>
      </c>
      <c r="D20" s="23">
        <v>0</v>
      </c>
      <c r="E20" s="42">
        <f t="shared" si="3"/>
        <v>1500</v>
      </c>
    </row>
    <row r="21" spans="2:5" ht="18" customHeight="1" x14ac:dyDescent="0.3">
      <c r="B21" s="12" t="s">
        <v>231</v>
      </c>
      <c r="C21" s="18">
        <f t="shared" si="2"/>
        <v>1500</v>
      </c>
      <c r="D21" s="19">
        <v>0</v>
      </c>
      <c r="E21" s="43">
        <f t="shared" si="3"/>
        <v>1500</v>
      </c>
    </row>
    <row r="22" spans="2:5" ht="18" customHeight="1" x14ac:dyDescent="0.3">
      <c r="B22" s="41" t="s">
        <v>232</v>
      </c>
      <c r="C22" s="22">
        <f t="shared" si="2"/>
        <v>1500</v>
      </c>
      <c r="D22" s="23">
        <v>0</v>
      </c>
      <c r="E22" s="42">
        <f t="shared" si="3"/>
        <v>1500</v>
      </c>
    </row>
    <row r="23" spans="2:5" ht="18" customHeight="1" x14ac:dyDescent="0.3">
      <c r="B23" s="12" t="s">
        <v>233</v>
      </c>
      <c r="C23" s="18">
        <f t="shared" si="2"/>
        <v>1500</v>
      </c>
      <c r="D23" s="19">
        <v>0</v>
      </c>
      <c r="E23" s="43">
        <f t="shared" si="3"/>
        <v>1500</v>
      </c>
    </row>
    <row r="24" spans="2:5" ht="19.5" customHeight="1" x14ac:dyDescent="0.3">
      <c r="B24" s="46" t="s">
        <v>234</v>
      </c>
      <c r="C24" s="47">
        <f>SUM(C18:C23)</f>
        <v>9000</v>
      </c>
      <c r="D24" s="47">
        <f>SUM(D18:D23)</f>
        <v>0</v>
      </c>
      <c r="E24" s="47">
        <f>SUM(E18:E23)</f>
        <v>9000</v>
      </c>
    </row>
    <row r="26" spans="2:5" ht="21.75" customHeight="1" x14ac:dyDescent="0.3">
      <c r="B26" s="56" t="s">
        <v>235</v>
      </c>
      <c r="C26" s="56"/>
      <c r="D26" s="56"/>
      <c r="E26" s="56"/>
    </row>
    <row r="27" spans="2:5" ht="15.75" customHeight="1" x14ac:dyDescent="0.3">
      <c r="B27" s="7" t="s">
        <v>216</v>
      </c>
      <c r="C27" s="7" t="s">
        <v>217</v>
      </c>
      <c r="D27" s="7" t="s">
        <v>218</v>
      </c>
      <c r="E27" s="7" t="s">
        <v>219</v>
      </c>
    </row>
    <row r="28" spans="2:5" ht="18" customHeight="1" x14ac:dyDescent="0.3">
      <c r="B28" s="41" t="s">
        <v>236</v>
      </c>
      <c r="C28" s="22">
        <f t="shared" ref="C28:C33" si="4">ROUND($C$4*0.2/6,0)</f>
        <v>1000</v>
      </c>
      <c r="D28" s="23">
        <v>0</v>
      </c>
      <c r="E28" s="42">
        <f t="shared" ref="E28:E33" si="5">C28-D28</f>
        <v>1000</v>
      </c>
    </row>
    <row r="29" spans="2:5" ht="18" customHeight="1" x14ac:dyDescent="0.3">
      <c r="B29" s="12" t="s">
        <v>237</v>
      </c>
      <c r="C29" s="18">
        <f t="shared" si="4"/>
        <v>1000</v>
      </c>
      <c r="D29" s="19">
        <v>0</v>
      </c>
      <c r="E29" s="43">
        <f t="shared" si="5"/>
        <v>1000</v>
      </c>
    </row>
    <row r="30" spans="2:5" ht="18" customHeight="1" x14ac:dyDescent="0.3">
      <c r="B30" s="41" t="s">
        <v>238</v>
      </c>
      <c r="C30" s="22">
        <f t="shared" si="4"/>
        <v>1000</v>
      </c>
      <c r="D30" s="23">
        <v>0</v>
      </c>
      <c r="E30" s="42">
        <f t="shared" si="5"/>
        <v>1000</v>
      </c>
    </row>
    <row r="31" spans="2:5" ht="18" customHeight="1" x14ac:dyDescent="0.3">
      <c r="B31" s="12" t="s">
        <v>239</v>
      </c>
      <c r="C31" s="18">
        <f t="shared" si="4"/>
        <v>1000</v>
      </c>
      <c r="D31" s="19">
        <v>0</v>
      </c>
      <c r="E31" s="43">
        <f t="shared" si="5"/>
        <v>1000</v>
      </c>
    </row>
    <row r="32" spans="2:5" ht="18" customHeight="1" x14ac:dyDescent="0.3">
      <c r="B32" s="41" t="s">
        <v>240</v>
      </c>
      <c r="C32" s="22">
        <f t="shared" si="4"/>
        <v>1000</v>
      </c>
      <c r="D32" s="23">
        <v>0</v>
      </c>
      <c r="E32" s="42">
        <f t="shared" si="5"/>
        <v>1000</v>
      </c>
    </row>
    <row r="33" spans="2:5" ht="18" customHeight="1" x14ac:dyDescent="0.3">
      <c r="B33" s="12" t="s">
        <v>241</v>
      </c>
      <c r="C33" s="18">
        <f t="shared" si="4"/>
        <v>1000</v>
      </c>
      <c r="D33" s="19">
        <v>0</v>
      </c>
      <c r="E33" s="43">
        <f t="shared" si="5"/>
        <v>1000</v>
      </c>
    </row>
    <row r="34" spans="2:5" ht="19.5" customHeight="1" x14ac:dyDescent="0.3">
      <c r="B34" s="48" t="s">
        <v>242</v>
      </c>
      <c r="C34" s="49">
        <f>SUM(C28:C33)</f>
        <v>6000</v>
      </c>
      <c r="D34" s="49">
        <f>SUM(D28:D33)</f>
        <v>0</v>
      </c>
      <c r="E34" s="49">
        <f>SUM(E28:E33)</f>
        <v>6000</v>
      </c>
    </row>
    <row r="36" spans="2:5" ht="19.5" customHeight="1" x14ac:dyDescent="0.3">
      <c r="B36" s="51" t="s">
        <v>243</v>
      </c>
      <c r="C36" s="51"/>
      <c r="D36" s="51"/>
      <c r="E36" s="51"/>
    </row>
  </sheetData>
  <mergeCells count="6">
    <mergeCell ref="B36:E36"/>
    <mergeCell ref="B1:E1"/>
    <mergeCell ref="B2:E2"/>
    <mergeCell ref="B6:E6"/>
    <mergeCell ref="B16:E16"/>
    <mergeCell ref="B26:E26"/>
  </mergeCells>
  <pageMargins left="0.75" right="0.75" top="1" bottom="1" header="0.511811023622047" footer="0.51181102362204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Dashboard</vt:lpstr>
      <vt:lpstr>Survey Data</vt:lpstr>
      <vt:lpstr>🧮 SIP Calculator</vt:lpstr>
      <vt:lpstr>📚 SIP vs SWP Guide</vt:lpstr>
      <vt:lpstr>💼 Budget Planner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Om Sharma</cp:lastModifiedBy>
  <cp:revision>0</cp:revision>
  <cp:lastPrinted>2026-04-28T10:15:05Z</cp:lastPrinted>
  <dcterms:created xsi:type="dcterms:W3CDTF">2026-04-28T09:43:20Z</dcterms:created>
  <dcterms:modified xsi:type="dcterms:W3CDTF">2026-04-29T16:27:14Z</dcterms:modified>
  <dc:language>en-US</dc:language>
</cp:coreProperties>
</file>